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Projects\MotorControl\05_SystemSimulation\FloatPoint\BLAC_FOC\"/>
    </mc:Choice>
  </mc:AlternateContent>
  <xr:revisionPtr revIDLastSave="0" documentId="13_ncr:1_{34D233D5-FEDB-403A-B187-B9B80FCE15CE}" xr6:coauthVersionLast="47" xr6:coauthVersionMax="47" xr10:uidLastSave="{00000000-0000-0000-0000-000000000000}"/>
  <bookViews>
    <workbookView xWindow="-120" yWindow="-120" windowWidth="38640" windowHeight="21240" firstSheet="1" activeTab="2" xr2:uid="{00000000-000D-0000-FFFF-FFFF00000000}"/>
  </bookViews>
  <sheets>
    <sheet name="Step0标幺定点化基准值" sheetId="18" r:id="rId1"/>
    <sheet name="Step1仿真参数设定" sheetId="1" r:id="rId2"/>
    <sheet name="Step2电机参数设定" sheetId="3" r:id="rId3"/>
    <sheet name="Step3硬件参数设定" sheetId="4" r:id="rId4"/>
    <sheet name="Step4控制参数设定" sheetId="10" r:id="rId5"/>
    <sheet name="Step5模型控制参数" sheetId="11" r:id="rId6"/>
    <sheet name="Step6定点化模型控制参数" sheetId="19" r:id="rId7"/>
    <sheet name="Step7枚举变量" sheetId="12" r:id="rId8"/>
    <sheet name="Step8查找表数据" sheetId="13" r:id="rId9"/>
    <sheet name="Step9总线信号" sheetId="17" r:id="rId10"/>
    <sheet name="Step10调试观察变量" sheetId="14" r:id="rId11"/>
    <sheet name="Step11调试配置" sheetId="16" r:id="rId12"/>
    <sheet name="Step12查找表数据" sheetId="15" r:id="rId13"/>
  </sheets>
  <definedNames>
    <definedName name="电机定子AB轴互感">Step2电机参数设定!$C$28</definedName>
    <definedName name="电机定子A相电感">Step2电机参数设定!$C$20</definedName>
    <definedName name="电机定子A相电阻">Step2电机参数设定!$C$15</definedName>
    <definedName name="电机定子A轴电感">Step2电机参数设定!$C$26</definedName>
    <definedName name="电机定子A轴电阻">Step2电机参数设定!$C$24</definedName>
    <definedName name="电机定子B相电感">Step2电机参数设定!$C$21</definedName>
    <definedName name="电机定子B相电阻">Step2电机参数设定!$C$16</definedName>
    <definedName name="电机定子B轴电感">Step2电机参数设定!$C$27</definedName>
    <definedName name="电机定子B轴电阻">Step2电机参数设定!$C$25</definedName>
    <definedName name="电机定子C相电感">Step2电机参数设定!$C$22</definedName>
    <definedName name="电机定子C相电阻">Step2电机参数设定!$C$17</definedName>
    <definedName name="电机定子D轴电感">Step2电机参数设定!$C$31</definedName>
    <definedName name="电机定子D轴电阻">Step2电机参数设定!$C$29</definedName>
    <definedName name="电机定子Q轴电感">Step2电机参数设定!$C$32</definedName>
    <definedName name="电机定子Q轴电阻">Step2电机参数设定!$C$30</definedName>
    <definedName name="电机定子均值电阻">Step2电机参数设定!$C$18</definedName>
    <definedName name="电机定子三相均值电感">Step2电机参数设定!$C$23</definedName>
    <definedName name="电机定子线电感">Step2电机参数设定!$C$19</definedName>
    <definedName name="电机定子线电阻">Step2电机参数设定!$C$14</definedName>
    <definedName name="电机额定转速">Step2电机参数设定!$C$5</definedName>
    <definedName name="电机反电势常数">Step2电机参数设定!$C$11</definedName>
    <definedName name="电机极对数">Step2电机参数设定!$C$34</definedName>
    <definedName name="电机静摩擦转矩">Step2电机参数设定!$C$9</definedName>
    <definedName name="电机零序电感">Step2电机参数设定!$C$33</definedName>
    <definedName name="电机绕组类型">Step2电机参数设定!$C$3</definedName>
    <definedName name="电机转动惯量">Step2电机参数设定!$C$7</definedName>
    <definedName name="电机转动阻力系数">Step2电机参数设定!$C$10</definedName>
    <definedName name="电机转动阻尼">Step2电机参数设定!$C$8</definedName>
    <definedName name="电机转矩常数">Step2电机参数设定!$C$13</definedName>
    <definedName name="电机转子磁链">Step2电机参数设定!$C$12</definedName>
    <definedName name="电机转子极对数">Step2电机参数设定!$C$34</definedName>
    <definedName name="电机最大输入功率">Step2电机参数设定!$C$6</definedName>
    <definedName name="电机最大转速">Step2电机参数设定!$C$4</definedName>
    <definedName name="电流环PI控制器带宽">Step4控制参数设定!$C$10</definedName>
    <definedName name="电流环算法类型">Step4控制参数设定!$C$9</definedName>
    <definedName name="仿真高频任务步长">Step1仿真参数设定!$C$6</definedName>
    <definedName name="仿真高频任务时钟">Step1仿真参数设定!$C$3</definedName>
    <definedName name="仿真基础步长">Step1仿真参数设定!$C$5</definedName>
    <definedName name="仿真基础时钟">Step1仿真参数设定!$C$2</definedName>
    <definedName name="仿真中频任务步长">Step1仿真参数设定!$C$7</definedName>
    <definedName name="仿真中频任务时钟">Step1仿真参数设定!$C$4</definedName>
    <definedName name="位置环控制参数">Step4控制参数设定!$C$3</definedName>
    <definedName name="位置环使能标志位">Step4控制参数设定!#REF!</definedName>
    <definedName name="位置环算法类型">Step4控制参数设定!$C$2</definedName>
    <definedName name="位置环误差阈值">Step4控制参数设定!$C$4</definedName>
    <definedName name="硬件ADC保持周期">Step3硬件参数设定!$C$10</definedName>
    <definedName name="硬件ADC采样周期">Step3硬件参数设定!$C$11</definedName>
    <definedName name="硬件ADC偏置电压">Step3硬件参数设定!$C$14</definedName>
    <definedName name="硬件ADC时钟">Step3硬件参数设定!$C$9</definedName>
    <definedName name="硬件ADC位数">Step3硬件参数设定!$C$15</definedName>
    <definedName name="硬件ADC转换周期">Step3硬件参数设定!$C$12</definedName>
    <definedName name="硬件ADC最大电压">Step3硬件参数设定!$C$13</definedName>
    <definedName name="硬件CSA增益">Step3硬件参数设定!$C$16</definedName>
    <definedName name="硬件IGBT死区时间">Step3硬件参数设定!$C$28</definedName>
    <definedName name="硬件相电流采样类型">Step3硬件参数设定!$C$33</definedName>
    <definedName name="硬件直流最大电压">Step3硬件参数设定!$C$3</definedName>
    <definedName name="硬件直流最大母线电流">Step3硬件参数设定!$C$5</definedName>
    <definedName name="转速环PI控制积分分离阈值">Step4控制参数设定!$C$11</definedName>
    <definedName name="转速环PI控制器带宽">Step4控制参数设定!$C$6</definedName>
    <definedName name="转速环使能标志位">Step4控制参数设定!#REF!</definedName>
    <definedName name="转速环算法类型">Step4控制参数设定!$C$5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1" l="1"/>
  <c r="E9" i="11"/>
  <c r="E10" i="11"/>
  <c r="D11" i="11"/>
  <c r="C11" i="3"/>
  <c r="C13" i="11" l="1"/>
  <c r="C12" i="11"/>
  <c r="C7" i="11"/>
  <c r="C8" i="11"/>
  <c r="D16" i="11" l="1"/>
  <c r="E15" i="11"/>
  <c r="E6" i="10"/>
  <c r="C22" i="10"/>
  <c r="C17" i="4"/>
  <c r="C8" i="4"/>
  <c r="C9" i="4" s="1"/>
  <c r="C2" i="4" l="1"/>
  <c r="E3" i="4" s="1"/>
  <c r="C12" i="3"/>
  <c r="C32" i="3"/>
  <c r="C31" i="3"/>
  <c r="C30" i="3"/>
  <c r="C29" i="3"/>
  <c r="C27" i="3"/>
  <c r="C23" i="3"/>
  <c r="C18" i="3"/>
  <c r="C22" i="3"/>
  <c r="C26" i="3" s="1"/>
  <c r="C21" i="3"/>
  <c r="C20" i="3"/>
  <c r="C17" i="3"/>
  <c r="C16" i="3"/>
  <c r="C15" i="3"/>
  <c r="D3" i="18"/>
  <c r="D4" i="18"/>
  <c r="D5" i="18"/>
  <c r="D6" i="18"/>
  <c r="D7" i="18"/>
  <c r="D8" i="18"/>
  <c r="D9" i="18"/>
  <c r="D10" i="18"/>
  <c r="D2" i="18"/>
  <c r="B7" i="18"/>
  <c r="B6" i="18" s="1"/>
  <c r="B8" i="18"/>
  <c r="B10" i="18" s="1"/>
  <c r="B5" i="18"/>
  <c r="E4" i="1"/>
  <c r="E3" i="1"/>
  <c r="C5" i="1"/>
  <c r="C6" i="1" s="1"/>
  <c r="C7" i="1" s="1"/>
  <c r="E4" i="4" l="1"/>
  <c r="C3" i="4"/>
  <c r="C24" i="3"/>
  <c r="C25" i="3" s="1"/>
  <c r="B9" i="18"/>
  <c r="E5" i="1"/>
  <c r="E6" i="1"/>
</calcChain>
</file>

<file path=xl/sharedStrings.xml><?xml version="1.0" encoding="utf-8"?>
<sst xmlns="http://schemas.openxmlformats.org/spreadsheetml/2006/main" count="968" uniqueCount="393">
  <si>
    <t>DataType</t>
    <phoneticPr fontId="1" type="noConversion"/>
  </si>
  <si>
    <t>DataValue</t>
    <phoneticPr fontId="1" type="noConversion"/>
  </si>
  <si>
    <t>StorageClass</t>
    <phoneticPr fontId="1" type="noConversion"/>
  </si>
  <si>
    <t>CustomStorageClass</t>
    <phoneticPr fontId="1" type="noConversion"/>
  </si>
  <si>
    <t>Description</t>
    <phoneticPr fontId="1" type="noConversion"/>
  </si>
  <si>
    <t>DataValueMin</t>
    <phoneticPr fontId="1" type="noConversion"/>
  </si>
  <si>
    <t>DataValueMax</t>
    <phoneticPr fontId="1" type="noConversion"/>
  </si>
  <si>
    <t>double</t>
    <phoneticPr fontId="1" type="noConversion"/>
  </si>
  <si>
    <t>MC_Sim_BaseStep</t>
    <phoneticPr fontId="1" type="noConversion"/>
  </si>
  <si>
    <t>MC_Sim_HFTStep</t>
    <phoneticPr fontId="1" type="noConversion"/>
  </si>
  <si>
    <t>MC_Sim_MFTStep</t>
    <phoneticPr fontId="1" type="noConversion"/>
  </si>
  <si>
    <t>高频任务步长</t>
    <phoneticPr fontId="1" type="noConversion"/>
  </si>
  <si>
    <t>中频任务步长</t>
    <phoneticPr fontId="1" type="noConversion"/>
  </si>
  <si>
    <t>Unit</t>
    <phoneticPr fontId="1" type="noConversion"/>
  </si>
  <si>
    <t>Const</t>
    <phoneticPr fontId="1" type="noConversion"/>
  </si>
  <si>
    <t>Parameter Name</t>
    <phoneticPr fontId="1" type="noConversion"/>
  </si>
  <si>
    <t>MC_MotorModel_ModelType</t>
    <phoneticPr fontId="1" type="noConversion"/>
  </si>
  <si>
    <t>MC_MotorModel_WindingType</t>
    <phoneticPr fontId="1" type="noConversion"/>
  </si>
  <si>
    <t>MC_MotorModel_SpeedMax</t>
    <phoneticPr fontId="1" type="noConversion"/>
  </si>
  <si>
    <t>MC_MotorModel_SpeedBase</t>
    <phoneticPr fontId="1" type="noConversion"/>
  </si>
  <si>
    <t>MC_MotorModel_Stator_Ra</t>
    <phoneticPr fontId="1" type="noConversion"/>
  </si>
  <si>
    <t>MC_MotorModel_Stator_Rb</t>
    <phoneticPr fontId="1" type="noConversion"/>
  </si>
  <si>
    <t>MC_MotorModel_Stator_Rc</t>
    <phoneticPr fontId="1" type="noConversion"/>
  </si>
  <si>
    <t>MC_MotorModel_Stator_La</t>
    <phoneticPr fontId="1" type="noConversion"/>
  </si>
  <si>
    <t>MC_MotorModel_Stator_Lb</t>
    <phoneticPr fontId="1" type="noConversion"/>
  </si>
  <si>
    <t>MC_MotorModel_Stator_Lc</t>
    <phoneticPr fontId="1" type="noConversion"/>
  </si>
  <si>
    <t>MC_MotorModel_Stator_Ralpha</t>
    <phoneticPr fontId="1" type="noConversion"/>
  </si>
  <si>
    <t>MC_MotorModel_Stator_Rbeta</t>
    <phoneticPr fontId="1" type="noConversion"/>
  </si>
  <si>
    <t>MC_MotorModel_Stator_Lalpha</t>
    <phoneticPr fontId="1" type="noConversion"/>
  </si>
  <si>
    <t>MC_MotorModel_Stator_Lbeta</t>
    <phoneticPr fontId="1" type="noConversion"/>
  </si>
  <si>
    <t>MC_MotorModel_Stator_Lab</t>
    <phoneticPr fontId="1" type="noConversion"/>
  </si>
  <si>
    <t>MC_MotorModel_Stator_Ld</t>
    <phoneticPr fontId="1" type="noConversion"/>
  </si>
  <si>
    <t>MC_MotorModel_Stator_Rd</t>
    <phoneticPr fontId="1" type="noConversion"/>
  </si>
  <si>
    <t>MC_MotorModel_Stator_Rq</t>
    <phoneticPr fontId="1" type="noConversion"/>
  </si>
  <si>
    <t>MC_MotorModel_Stator_Lq</t>
    <phoneticPr fontId="1" type="noConversion"/>
  </si>
  <si>
    <t>MC_MotorModel_Stator_L0</t>
    <phoneticPr fontId="1" type="noConversion"/>
  </si>
  <si>
    <t>MC_MotorModel_Rotor_Pn</t>
    <phoneticPr fontId="1" type="noConversion"/>
  </si>
  <si>
    <t>MC_Sim_NoisePower_Tempature</t>
    <phoneticPr fontId="1" type="noConversion"/>
  </si>
  <si>
    <t>MC_Sim_NoisePower_TorqueSensor</t>
    <phoneticPr fontId="1" type="noConversion"/>
  </si>
  <si>
    <t>MC_MotorModel_PowerMax</t>
    <phoneticPr fontId="1" type="noConversion"/>
  </si>
  <si>
    <t>MC_Hardware_Input_VbusMax</t>
    <phoneticPr fontId="1" type="noConversion"/>
  </si>
  <si>
    <t>MC_Hardware_Input_VbusMin</t>
    <phoneticPr fontId="1" type="noConversion"/>
  </si>
  <si>
    <t>MC_Hardware_Input_IbusMax</t>
    <phoneticPr fontId="1" type="noConversion"/>
  </si>
  <si>
    <t>MC_Hardawre_Chip_Type</t>
    <phoneticPr fontId="1" type="noConversion"/>
  </si>
  <si>
    <t>MC_Hardawre_Chip_PreDrive</t>
    <phoneticPr fontId="1" type="noConversion"/>
  </si>
  <si>
    <t>MC_Hardware_Chip_Clock</t>
    <phoneticPr fontId="1" type="noConversion"/>
  </si>
  <si>
    <t>MC_Hardware_Chip_PWMPeriod</t>
    <phoneticPr fontId="1" type="noConversion"/>
  </si>
  <si>
    <t>MC_Hardware_Chip_ADCClock</t>
    <phoneticPr fontId="1" type="noConversion"/>
  </si>
  <si>
    <t>MC_Hardware_Chip_ADCKeepPeriod</t>
    <phoneticPr fontId="1" type="noConversion"/>
  </si>
  <si>
    <t>MC_Hardware_Chip_ADCSamplePeriod</t>
    <phoneticPr fontId="1" type="noConversion"/>
  </si>
  <si>
    <t>MC_Hardware_Chip_ADCTransPeriod</t>
    <phoneticPr fontId="1" type="noConversion"/>
  </si>
  <si>
    <t>MC_Hardware_Chip_ADCVoltageRefence</t>
    <phoneticPr fontId="1" type="noConversion"/>
  </si>
  <si>
    <t>MC_Hardware_Chip_ADCResultBit</t>
    <phoneticPr fontId="1" type="noConversion"/>
  </si>
  <si>
    <t>MC_Hardware_Chip_CSAGain</t>
    <phoneticPr fontId="1" type="noConversion"/>
  </si>
  <si>
    <t>MC_Hardware_Senseor_AngleType</t>
    <phoneticPr fontId="1" type="noConversion"/>
  </si>
  <si>
    <t>MC_Hardware_Senseor_TorqueType</t>
    <phoneticPr fontId="1" type="noConversion"/>
  </si>
  <si>
    <t>MC_Hardware_Senseor_AngleSamplePeriod</t>
    <phoneticPr fontId="1" type="noConversion"/>
  </si>
  <si>
    <t>MC_Hardware_Senseor_TorqueSamplePeriod</t>
    <phoneticPr fontId="1" type="noConversion"/>
  </si>
  <si>
    <t>MC_Hardware_Sample_CurrentType</t>
    <phoneticPr fontId="1" type="noConversion"/>
  </si>
  <si>
    <t>MC_Hardware_Sample_Resistor</t>
    <phoneticPr fontId="1" type="noConversion"/>
  </si>
  <si>
    <t>MC_Hardware_Sample_VbusSamplePeriod</t>
    <phoneticPr fontId="1" type="noConversion"/>
  </si>
  <si>
    <t>MC_Param_PositionLoop_AlgorithmType</t>
    <phoneticPr fontId="1" type="noConversion"/>
  </si>
  <si>
    <t>MC_Param_SpeedLoop_AlgorithmType</t>
    <phoneticPr fontId="1" type="noConversion"/>
  </si>
  <si>
    <t>MC_Param_TorqueLoop_AlgorithmType</t>
    <phoneticPr fontId="1" type="noConversion"/>
  </si>
  <si>
    <t>MC_Param_CurrentLoop_AlgorithmType</t>
    <phoneticPr fontId="1" type="noConversion"/>
  </si>
  <si>
    <t>MC_Param_SensorlessObservor_AlgorithmType</t>
    <phoneticPr fontId="1" type="noConversion"/>
  </si>
  <si>
    <t>MC_Param_CurrentLimit_AlgorithmType</t>
    <phoneticPr fontId="1" type="noConversion"/>
  </si>
  <si>
    <t>MC_Param_PowerLimit_AlgorithmType</t>
    <phoneticPr fontId="1" type="noConversion"/>
  </si>
  <si>
    <t>MC_Param_CurrentReconstruction_AlgorithmType</t>
    <phoneticPr fontId="1" type="noConversion"/>
  </si>
  <si>
    <t>基础任务步长</t>
    <phoneticPr fontId="1" type="noConversion"/>
  </si>
  <si>
    <t>MC_Sim_NoisePower_PhaseCurrent</t>
    <phoneticPr fontId="1" type="noConversion"/>
  </si>
  <si>
    <t>温度采样噪声</t>
    <phoneticPr fontId="1" type="noConversion"/>
  </si>
  <si>
    <t>相电流采样噪声</t>
    <phoneticPr fontId="1" type="noConversion"/>
  </si>
  <si>
    <t>力矩传感器采样噪声</t>
    <phoneticPr fontId="1" type="noConversion"/>
  </si>
  <si>
    <t>MC_Sim_NoisePower_SpeedSensor</t>
    <phoneticPr fontId="1" type="noConversion"/>
  </si>
  <si>
    <t>转速传感器采样噪声</t>
    <phoneticPr fontId="1" type="noConversion"/>
  </si>
  <si>
    <t>NaN</t>
    <phoneticPr fontId="1" type="noConversion"/>
  </si>
  <si>
    <t>电机机械最大转速</t>
    <phoneticPr fontId="1" type="noConversion"/>
  </si>
  <si>
    <t>电机机械额定转速</t>
    <phoneticPr fontId="1" type="noConversion"/>
  </si>
  <si>
    <t>电机本体转动惯量</t>
    <phoneticPr fontId="1" type="noConversion"/>
  </si>
  <si>
    <t>电机输入最大功率</t>
    <phoneticPr fontId="1" type="noConversion"/>
  </si>
  <si>
    <t>电机本体转动阻尼</t>
    <phoneticPr fontId="1" type="noConversion"/>
  </si>
  <si>
    <t>电机本体静摩擦力矩</t>
    <phoneticPr fontId="1" type="noConversion"/>
  </si>
  <si>
    <t>电机机械动阻力系数</t>
    <phoneticPr fontId="1" type="noConversion"/>
  </si>
  <si>
    <t>电机本体反电势系数</t>
    <phoneticPr fontId="1" type="noConversion"/>
  </si>
  <si>
    <t>电机本体转子磁链</t>
    <phoneticPr fontId="1" type="noConversion"/>
  </si>
  <si>
    <t>电机定子A相电阻</t>
    <phoneticPr fontId="1" type="noConversion"/>
  </si>
  <si>
    <t>电机定子B相电阻</t>
    <phoneticPr fontId="1" type="noConversion"/>
  </si>
  <si>
    <t>电机定子C相电阻</t>
    <phoneticPr fontId="1" type="noConversion"/>
  </si>
  <si>
    <t>电机定子A相电感</t>
    <phoneticPr fontId="1" type="noConversion"/>
  </si>
  <si>
    <t>电机定子B相电感</t>
    <phoneticPr fontId="1" type="noConversion"/>
  </si>
  <si>
    <t>电机定子C相电感</t>
    <phoneticPr fontId="1" type="noConversion"/>
  </si>
  <si>
    <t>电机定子Alpha/Beta互电感</t>
    <phoneticPr fontId="1" type="noConversion"/>
  </si>
  <si>
    <t>电机定子D轴电感</t>
    <phoneticPr fontId="1" type="noConversion"/>
  </si>
  <si>
    <t>电机定子Alpha轴电阻</t>
    <phoneticPr fontId="1" type="noConversion"/>
  </si>
  <si>
    <t>电机定子Beta轴电阻</t>
    <phoneticPr fontId="1" type="noConversion"/>
  </si>
  <si>
    <t>电机定子Alpha轴电感</t>
    <phoneticPr fontId="1" type="noConversion"/>
  </si>
  <si>
    <t>电机定子Beta轴电感</t>
    <phoneticPr fontId="1" type="noConversion"/>
  </si>
  <si>
    <t>电机定子Q轴电感</t>
    <phoneticPr fontId="1" type="noConversion"/>
  </si>
  <si>
    <t>电机定子D轴电阻</t>
    <phoneticPr fontId="1" type="noConversion"/>
  </si>
  <si>
    <t>电机定子Q轴电阻</t>
    <phoneticPr fontId="1" type="noConversion"/>
  </si>
  <si>
    <t>电机定子零序电感</t>
    <phoneticPr fontId="1" type="noConversion"/>
  </si>
  <si>
    <t>电机极对数</t>
    <phoneticPr fontId="1" type="noConversion"/>
  </si>
  <si>
    <t>MC_Sim_BaseFreq</t>
    <phoneticPr fontId="1" type="noConversion"/>
  </si>
  <si>
    <t>MC_Sim_MFTFreq</t>
    <phoneticPr fontId="1" type="noConversion"/>
  </si>
  <si>
    <t>MC_Sim_HFTFreq</t>
    <phoneticPr fontId="1" type="noConversion"/>
  </si>
  <si>
    <t>基础时钟频率</t>
    <phoneticPr fontId="1" type="noConversion"/>
  </si>
  <si>
    <t>高频任务频率</t>
    <phoneticPr fontId="1" type="noConversion"/>
  </si>
  <si>
    <t>中频任务频率</t>
    <phoneticPr fontId="1" type="noConversion"/>
  </si>
  <si>
    <t>Hz</t>
    <phoneticPr fontId="1" type="noConversion"/>
  </si>
  <si>
    <t>s</t>
    <phoneticPr fontId="1" type="noConversion"/>
  </si>
  <si>
    <t>/</t>
    <phoneticPr fontId="1" type="noConversion"/>
  </si>
  <si>
    <t>硬件额定电压</t>
    <phoneticPr fontId="1" type="noConversion"/>
  </si>
  <si>
    <t>硬件最大电压</t>
    <phoneticPr fontId="1" type="noConversion"/>
  </si>
  <si>
    <t>硬件最小电压</t>
    <phoneticPr fontId="1" type="noConversion"/>
  </si>
  <si>
    <t>母线电流最大值</t>
    <phoneticPr fontId="1" type="noConversion"/>
  </si>
  <si>
    <t>硬件MCU类型</t>
    <phoneticPr fontId="1" type="noConversion"/>
  </si>
  <si>
    <t>硬件预驱类型</t>
    <phoneticPr fontId="1" type="noConversion"/>
  </si>
  <si>
    <t>硬件MCU主时钟</t>
    <phoneticPr fontId="1" type="noConversion"/>
  </si>
  <si>
    <t>硬件ADC时钟</t>
    <phoneticPr fontId="1" type="noConversion"/>
  </si>
  <si>
    <t>硬件ADC采样保持周期</t>
    <phoneticPr fontId="1" type="noConversion"/>
  </si>
  <si>
    <t>硬件ADC采样周期</t>
    <phoneticPr fontId="1" type="noConversion"/>
  </si>
  <si>
    <t>硬件ADC转换周期</t>
    <phoneticPr fontId="1" type="noConversion"/>
  </si>
  <si>
    <t>硬件ADC参考电压</t>
    <phoneticPr fontId="1" type="noConversion"/>
  </si>
  <si>
    <t>硬件ADC最大电压</t>
    <phoneticPr fontId="1" type="noConversion"/>
  </si>
  <si>
    <t>硬件ADC位数</t>
    <phoneticPr fontId="1" type="noConversion"/>
  </si>
  <si>
    <t>硬件PWM周期</t>
    <phoneticPr fontId="1" type="noConversion"/>
  </si>
  <si>
    <t>MC_Param_PositionLoop_Kp</t>
    <phoneticPr fontId="1" type="noConversion"/>
  </si>
  <si>
    <t>MC_Param_PositionLoop_ErrThreshold</t>
    <phoneticPr fontId="1" type="noConversion"/>
  </si>
  <si>
    <t>MC_Sim_NoisePower_PhaseVoltage</t>
    <phoneticPr fontId="1" type="noConversion"/>
  </si>
  <si>
    <t>MC_Sim_NoisePower_VDCbus</t>
    <phoneticPr fontId="1" type="noConversion"/>
  </si>
  <si>
    <t>MC_Sim_NoisePower_IDCbus</t>
    <phoneticPr fontId="1" type="noConversion"/>
  </si>
  <si>
    <t>MC_Sim_NoisePower_VACbus</t>
    <phoneticPr fontId="1" type="noConversion"/>
  </si>
  <si>
    <t>MC_Sim_NoisePower_IACbus</t>
    <phoneticPr fontId="1" type="noConversion"/>
  </si>
  <si>
    <t>交流母线电压采样噪声</t>
    <phoneticPr fontId="1" type="noConversion"/>
  </si>
  <si>
    <t>交流母线电流采样噪声</t>
    <phoneticPr fontId="1" type="noConversion"/>
  </si>
  <si>
    <t>直流母线电压采样噪声</t>
    <phoneticPr fontId="1" type="noConversion"/>
  </si>
  <si>
    <t>直流母线电流采样噪声</t>
    <phoneticPr fontId="1" type="noConversion"/>
  </si>
  <si>
    <t>相电压采样噪声</t>
    <phoneticPr fontId="1" type="noConversion"/>
  </si>
  <si>
    <t>MC_Hardware_IGBT_Rds</t>
    <phoneticPr fontId="1" type="noConversion"/>
  </si>
  <si>
    <t>MC_Hardware_IGBT_Lon</t>
    <phoneticPr fontId="1" type="noConversion"/>
  </si>
  <si>
    <t>MC_Hardware_IGBT_Vf</t>
    <phoneticPr fontId="1" type="noConversion"/>
  </si>
  <si>
    <t>MC_Hardware_IGBT_DeadTime</t>
    <phoneticPr fontId="1" type="noConversion"/>
  </si>
  <si>
    <t>硬件IGBT管内阻</t>
    <phoneticPr fontId="1" type="noConversion"/>
  </si>
  <si>
    <t>硬件IGBT管电感</t>
    <phoneticPr fontId="1" type="noConversion"/>
  </si>
  <si>
    <t>硬件IGBT导通电压</t>
    <phoneticPr fontId="1" type="noConversion"/>
  </si>
  <si>
    <t>MC_Hardware_IGBT_SC</t>
    <phoneticPr fontId="1" type="noConversion"/>
  </si>
  <si>
    <t>MC_Hardware_IGBT_SR</t>
    <phoneticPr fontId="1" type="noConversion"/>
  </si>
  <si>
    <t>硬件IGBT并联电阻</t>
    <phoneticPr fontId="1" type="noConversion"/>
  </si>
  <si>
    <t>硬件IGBT并联电容</t>
    <phoneticPr fontId="1" type="noConversion"/>
  </si>
  <si>
    <t>硬件IGBT死区时间</t>
    <phoneticPr fontId="1" type="noConversion"/>
  </si>
  <si>
    <t>硬件位置传感器采样周期</t>
    <phoneticPr fontId="1" type="noConversion"/>
  </si>
  <si>
    <t>位置传感器采样噪声</t>
    <phoneticPr fontId="1" type="noConversion"/>
  </si>
  <si>
    <t>MC_Sim_NoisePower_PositionSensor</t>
    <phoneticPr fontId="1" type="noConversion"/>
  </si>
  <si>
    <t>硬件扭矩传感器类型</t>
    <phoneticPr fontId="1" type="noConversion"/>
  </si>
  <si>
    <t>硬件扭矩传感器采样周期</t>
    <phoneticPr fontId="1" type="noConversion"/>
  </si>
  <si>
    <t>硬件相电流采样电阻</t>
    <phoneticPr fontId="1" type="noConversion"/>
  </si>
  <si>
    <t>硬件直流母线电压采样周期</t>
    <phoneticPr fontId="1" type="noConversion"/>
  </si>
  <si>
    <t>MC_Hardware_Input_Vac</t>
    <phoneticPr fontId="1" type="noConversion"/>
  </si>
  <si>
    <t>MC_Hardware_Diode_Rds</t>
    <phoneticPr fontId="1" type="noConversion"/>
  </si>
  <si>
    <t>MC_Hardware_Diode_Lon</t>
    <phoneticPr fontId="1" type="noConversion"/>
  </si>
  <si>
    <t>MC_Hardware_Diode_Vf</t>
    <phoneticPr fontId="1" type="noConversion"/>
  </si>
  <si>
    <t>MC_Hardware_Diode_SR</t>
    <phoneticPr fontId="1" type="noConversion"/>
  </si>
  <si>
    <t>MC_Hardware_Diode_SC</t>
    <phoneticPr fontId="1" type="noConversion"/>
  </si>
  <si>
    <t>硬件整流二极管内阻</t>
    <phoneticPr fontId="1" type="noConversion"/>
  </si>
  <si>
    <t>硬件整流二极管电感</t>
    <phoneticPr fontId="1" type="noConversion"/>
  </si>
  <si>
    <t>硬件整流二极管导通电压</t>
    <phoneticPr fontId="1" type="noConversion"/>
  </si>
  <si>
    <t>硬件整流二极管并联电阻</t>
    <phoneticPr fontId="1" type="noConversion"/>
  </si>
  <si>
    <t>硬件整流二极管并联电容</t>
    <phoneticPr fontId="1" type="noConversion"/>
  </si>
  <si>
    <t>电机模型类型
（注）</t>
    <phoneticPr fontId="1" type="noConversion"/>
  </si>
  <si>
    <t>MC_MotorModel_Stator_Rs</t>
    <phoneticPr fontId="1" type="noConversion"/>
  </si>
  <si>
    <t>电机定子均值相电阻</t>
    <phoneticPr fontId="1" type="noConversion"/>
  </si>
  <si>
    <t>Base Parameter Name</t>
    <phoneticPr fontId="1" type="noConversion"/>
  </si>
  <si>
    <t>Fixed-Point Error</t>
    <phoneticPr fontId="1" type="noConversion"/>
  </si>
  <si>
    <t>Motor_Speed_Base</t>
    <phoneticPr fontId="1" type="noConversion"/>
  </si>
  <si>
    <t>Motor_Voltage_Base</t>
    <phoneticPr fontId="1" type="noConversion"/>
  </si>
  <si>
    <t>Motor_Current_Base</t>
    <phoneticPr fontId="1" type="noConversion"/>
  </si>
  <si>
    <t>Motor_Resistor_Base</t>
    <phoneticPr fontId="1" type="noConversion"/>
  </si>
  <si>
    <t>Motor_Inductor_Base</t>
    <phoneticPr fontId="1" type="noConversion"/>
  </si>
  <si>
    <t>Motor_Frequency_Base</t>
    <phoneticPr fontId="1" type="noConversion"/>
  </si>
  <si>
    <t>Motor_Angularvelocity_Base</t>
    <phoneticPr fontId="1" type="noConversion"/>
  </si>
  <si>
    <t>Motor_Flux_Base</t>
    <phoneticPr fontId="1" type="noConversion"/>
  </si>
  <si>
    <t>Motor_Time_Base</t>
    <phoneticPr fontId="1" type="noConversion"/>
  </si>
  <si>
    <t>RPM</t>
    <phoneticPr fontId="1" type="noConversion"/>
  </si>
  <si>
    <t>V</t>
    <phoneticPr fontId="1" type="noConversion"/>
  </si>
  <si>
    <t>A</t>
    <phoneticPr fontId="1" type="noConversion"/>
  </si>
  <si>
    <t>Ω</t>
    <phoneticPr fontId="1" type="noConversion"/>
  </si>
  <si>
    <t>H</t>
    <phoneticPr fontId="1" type="noConversion"/>
  </si>
  <si>
    <t>rad/s</t>
    <phoneticPr fontId="1" type="noConversion"/>
  </si>
  <si>
    <t>V*s</t>
    <phoneticPr fontId="1" type="noConversion"/>
  </si>
  <si>
    <t>转速基准值</t>
    <phoneticPr fontId="1" type="noConversion"/>
  </si>
  <si>
    <t>电压基准值</t>
    <phoneticPr fontId="1" type="noConversion"/>
  </si>
  <si>
    <t>电流基准值</t>
    <phoneticPr fontId="1" type="noConversion"/>
  </si>
  <si>
    <t>电阻基准值</t>
    <phoneticPr fontId="1" type="noConversion"/>
  </si>
  <si>
    <t>电感基准值</t>
    <phoneticPr fontId="1" type="noConversion"/>
  </si>
  <si>
    <t>角速度基准值</t>
    <phoneticPr fontId="1" type="noConversion"/>
  </si>
  <si>
    <t>频率基准值</t>
    <phoneticPr fontId="1" type="noConversion"/>
  </si>
  <si>
    <t>磁链基准值</t>
    <phoneticPr fontId="1" type="noConversion"/>
  </si>
  <si>
    <t>时间基准值</t>
    <phoneticPr fontId="1" type="noConversion"/>
  </si>
  <si>
    <t>转速环PI控制器带宽</t>
    <phoneticPr fontId="1" type="noConversion"/>
  </si>
  <si>
    <t>MC_Param_SpeedLoop_B_PI</t>
    <phoneticPr fontId="1" type="noConversion"/>
  </si>
  <si>
    <t>转矩环PI控制器带宽</t>
    <phoneticPr fontId="1" type="noConversion"/>
  </si>
  <si>
    <t>MC_Param_TorqueLoop_B_PI</t>
    <phoneticPr fontId="1" type="noConversion"/>
  </si>
  <si>
    <t>电流环PI控制器带宽</t>
    <phoneticPr fontId="1" type="noConversion"/>
  </si>
  <si>
    <t>MC_Param_LowPassFilter_AlgorithmType</t>
    <phoneticPr fontId="1" type="noConversion"/>
  </si>
  <si>
    <t>位置环P控制器增益</t>
    <phoneticPr fontId="1" type="noConversion"/>
  </si>
  <si>
    <t>位置环误差阈值</t>
    <phoneticPr fontId="1" type="noConversion"/>
  </si>
  <si>
    <t>MC_Param_CurrentLoop_B_PI</t>
    <phoneticPr fontId="1" type="noConversion"/>
  </si>
  <si>
    <t>MC_Param_SensorlessObservor_SMO</t>
    <phoneticPr fontId="1" type="noConversion"/>
  </si>
  <si>
    <t>MC_Param_SensorlessObservor_Flux_Ori</t>
    <phoneticPr fontId="1" type="noConversion"/>
  </si>
  <si>
    <t>MC_Param_SensorlessObservor_Flux_NL</t>
    <phoneticPr fontId="1" type="noConversion"/>
  </si>
  <si>
    <t>MC_Param_SensorlessObservor_Lubergar</t>
    <phoneticPr fontId="1" type="noConversion"/>
  </si>
  <si>
    <t>无感观测器——滑膜参数</t>
    <phoneticPr fontId="1" type="noConversion"/>
  </si>
  <si>
    <t>无感观测器——磁链（原始）</t>
    <phoneticPr fontId="1" type="noConversion"/>
  </si>
  <si>
    <t>无感观测器——磁链（非线性）</t>
    <phoneticPr fontId="1" type="noConversion"/>
  </si>
  <si>
    <t>无感观测器——龙贝格</t>
    <phoneticPr fontId="1" type="noConversion"/>
  </si>
  <si>
    <t>MC_Param_SVPWM_ModulType</t>
    <phoneticPr fontId="1" type="noConversion"/>
  </si>
  <si>
    <t>MC_Param_SVPWM_CompType</t>
    <phoneticPr fontId="1" type="noConversion"/>
  </si>
  <si>
    <t>MC_Param_SVPWM_OverType</t>
    <phoneticPr fontId="1" type="noConversion"/>
  </si>
  <si>
    <t>MC_Param_SVPWM_OverCompType</t>
    <phoneticPr fontId="1" type="noConversion"/>
  </si>
  <si>
    <t>MC_Param_SVPWM_DeadCompensationType</t>
    <phoneticPr fontId="1" type="noConversion"/>
  </si>
  <si>
    <t>SVPWM过调制算法选择：
0、无过调制
1、无补偿过调制
2、补偿式过调制</t>
    <phoneticPr fontId="1" type="noConversion"/>
  </si>
  <si>
    <t>MC_Param_SVPWM_PhaseMoveType</t>
    <phoneticPr fontId="1" type="noConversion"/>
  </si>
  <si>
    <t>SVPWM相移策略选择：
0、无相移</t>
    <phoneticPr fontId="1" type="noConversion"/>
  </si>
  <si>
    <t>MC_Param_SVPWM_DutyMax</t>
    <phoneticPr fontId="1" type="noConversion"/>
  </si>
  <si>
    <t>SVPWM占空比最大值</t>
    <phoneticPr fontId="1" type="noConversion"/>
  </si>
  <si>
    <t>MC_Param_SVPWM_DutyMin</t>
    <phoneticPr fontId="1" type="noConversion"/>
  </si>
  <si>
    <t>SVPWM占空比最小值</t>
    <phoneticPr fontId="1" type="noConversion"/>
  </si>
  <si>
    <t>MC_Param_SVPWM_SampleValidTime</t>
    <phoneticPr fontId="1" type="noConversion"/>
  </si>
  <si>
    <t>MC_Param_SVPWM_DeadTime</t>
    <phoneticPr fontId="1" type="noConversion"/>
  </si>
  <si>
    <t>MC_Param_SVPWM_SampleOffsetTime1</t>
    <phoneticPr fontId="1" type="noConversion"/>
  </si>
  <si>
    <t>MC_Param_SVPWM_SampleOffsetTime2</t>
    <phoneticPr fontId="1" type="noConversion"/>
  </si>
  <si>
    <t>MC_Param_SVPWM_SampleOffsetTime3</t>
    <phoneticPr fontId="1" type="noConversion"/>
  </si>
  <si>
    <t>SVPWM电流采样有效时间</t>
    <phoneticPr fontId="1" type="noConversion"/>
  </si>
  <si>
    <t>SVPWM死区时间</t>
    <phoneticPr fontId="1" type="noConversion"/>
  </si>
  <si>
    <t>SVPWM电流采样偏移时间1</t>
    <phoneticPr fontId="1" type="noConversion"/>
  </si>
  <si>
    <t>SVPWM电流采样偏移时间2</t>
    <phoneticPr fontId="1" type="noConversion"/>
  </si>
  <si>
    <t>SVPWM电流采样偏移时间3</t>
    <phoneticPr fontId="1" type="noConversion"/>
  </si>
  <si>
    <t>相电流重构算法类型：
0、传统电流重构（跟随SVPWM采样类型）</t>
    <phoneticPr fontId="1" type="noConversion"/>
  </si>
  <si>
    <t>MC_Param_SVPWM_CurrentSampleType</t>
    <phoneticPr fontId="1" type="noConversion"/>
  </si>
  <si>
    <t>MC_MotorModel_Stator_Rline</t>
    <phoneticPr fontId="1" type="noConversion"/>
  </si>
  <si>
    <t>MC_MotorModel_Stator_Lline</t>
    <phoneticPr fontId="1" type="noConversion"/>
  </si>
  <si>
    <t>电机定子线电阻</t>
    <phoneticPr fontId="1" type="noConversion"/>
  </si>
  <si>
    <t>电机定子线电感</t>
    <phoneticPr fontId="1" type="noConversion"/>
  </si>
  <si>
    <t>电机绕组类型：
1：星型绕组；
2：三角绕组；</t>
    <phoneticPr fontId="1" type="noConversion"/>
  </si>
  <si>
    <t>MC_MotorModel_Const_Torque</t>
    <phoneticPr fontId="1" type="noConversion"/>
  </si>
  <si>
    <t>电机转矩常数</t>
    <phoneticPr fontId="1" type="noConversion"/>
  </si>
  <si>
    <t>MC_MotorModel_Const_Ke</t>
    <phoneticPr fontId="1" type="noConversion"/>
  </si>
  <si>
    <t>MC_MotorModel_Stator_Ls</t>
    <phoneticPr fontId="1" type="noConversion"/>
  </si>
  <si>
    <t>电机定子均值电感</t>
    <phoneticPr fontId="1" type="noConversion"/>
  </si>
  <si>
    <t>MC_MotorModel_Const_Psi</t>
    <phoneticPr fontId="1" type="noConversion"/>
  </si>
  <si>
    <t>MC_MotorModel_Mechinal_Damp</t>
    <phoneticPr fontId="1" type="noConversion"/>
  </si>
  <si>
    <t>MC_MotorModel_Mechinal_Tfric</t>
    <phoneticPr fontId="1" type="noConversion"/>
  </si>
  <si>
    <t>MC_MotorModel_Mechinal_TfCoff</t>
    <phoneticPr fontId="1" type="noConversion"/>
  </si>
  <si>
    <t>硬件相电流采样类型：
0无电阻采样；
1单电阻采样；
2双电阻采样；
3三电阻采样；</t>
    <phoneticPr fontId="1" type="noConversion"/>
  </si>
  <si>
    <t>转速环控制算法类型：
0 无转速环；
1 PI控制器：
2 滑膜控制器；
3 ADRC控制器</t>
    <phoneticPr fontId="1" type="noConversion"/>
  </si>
  <si>
    <t>位置环算法类型：
0 无位置环；
1 P控制器；</t>
    <phoneticPr fontId="1" type="noConversion"/>
  </si>
  <si>
    <t>转矩环控制算法类型：
0 无转矩环；
1 PI控制器；</t>
    <phoneticPr fontId="1" type="noConversion"/>
  </si>
  <si>
    <t>电流环控制算法类型：
0 无电流控制器；
1 PI控制器；
2 PID控制器；
3 复矢量PI控制器；
4 PIR控制器；
5 无差拍控制器；
6 ADRC控制器；</t>
    <phoneticPr fontId="1" type="noConversion"/>
  </si>
  <si>
    <t>无感观测器算法类型：
0 无观测器；
1 滑膜观测器；
2 磁链观测器；
3 龙贝格观测器；
4 静态电压补偿观测器；
5 估计电流模型观测器；</t>
    <phoneticPr fontId="1" type="noConversion"/>
  </si>
  <si>
    <t>SVPWM调制算法选择：
0 无调制
1 七段式
2 五段式</t>
    <phoneticPr fontId="1" type="noConversion"/>
  </si>
  <si>
    <t>SVPWM计算算法选择：
0 无计算方式
1 投影式
2 三相快速算法</t>
    <phoneticPr fontId="1" type="noConversion"/>
  </si>
  <si>
    <t>SVPWM过调制补偿算法选择：
0 无过调制算法；
1 直接过调制算法；
2 补偿式过调制算法；</t>
    <phoneticPr fontId="1" type="noConversion"/>
  </si>
  <si>
    <t>SVPWM死区补偿算法选择：
0 无补偿；
1 电流补偿算法；</t>
    <phoneticPr fontId="1" type="noConversion"/>
  </si>
  <si>
    <t>SVPWM电流采样策略选择：
0 无采样电阻；
1 单电阻；
2 双电阻；
3 三电阻；</t>
    <phoneticPr fontId="1" type="noConversion"/>
  </si>
  <si>
    <t>硬件CSA增益</t>
    <phoneticPr fontId="1" type="noConversion"/>
  </si>
  <si>
    <t>硬件位置传感器类型：
0 无传感器；
1 角度传感器；</t>
    <phoneticPr fontId="1" type="noConversion"/>
  </si>
  <si>
    <t>MC_Hardware_Sample_VbusSampleResistor</t>
    <phoneticPr fontId="1" type="noConversion"/>
  </si>
  <si>
    <t>硬件直流母线电压采样电阻</t>
    <phoneticPr fontId="1" type="noConversion"/>
  </si>
  <si>
    <t>MC_Hardware_Sample_VPhaseSamplePeriod</t>
    <phoneticPr fontId="1" type="noConversion"/>
  </si>
  <si>
    <t>硬件相电压采样周期</t>
    <phoneticPr fontId="1" type="noConversion"/>
  </si>
  <si>
    <t>MC_Hardware_Sample_IPhaseSamplePeriod</t>
    <phoneticPr fontId="1" type="noConversion"/>
  </si>
  <si>
    <t>硬件相电流采样周期</t>
    <phoneticPr fontId="1" type="noConversion"/>
  </si>
  <si>
    <t>电流限流算法类型：
0 无电流限制；
1 母线电流限制；</t>
    <phoneticPr fontId="1" type="noConversion"/>
  </si>
  <si>
    <t>功率限制算法类型：
0 无功率限制；</t>
    <phoneticPr fontId="1" type="noConversion"/>
  </si>
  <si>
    <t>低通滤波器算法类型：
0 无低通滤波器；
1 传统低通滤波器；</t>
    <phoneticPr fontId="1" type="noConversion"/>
  </si>
  <si>
    <t>MC_CtrlPara_SpeedPI_Ki</t>
    <phoneticPr fontId="1" type="noConversion"/>
  </si>
  <si>
    <t>MC_CtrlPara_SpeedPI_Kp</t>
    <phoneticPr fontId="1" type="noConversion"/>
  </si>
  <si>
    <t>MC_CtrlPara_TorquePI_Ki</t>
    <phoneticPr fontId="1" type="noConversion"/>
  </si>
  <si>
    <t>MC_CtrlPara_TorquePI_Kp</t>
    <phoneticPr fontId="1" type="noConversion"/>
  </si>
  <si>
    <t>MC_CtrlPara_PositionP_Kp</t>
    <phoneticPr fontId="1" type="noConversion"/>
  </si>
  <si>
    <t>single</t>
    <phoneticPr fontId="1" type="noConversion"/>
  </si>
  <si>
    <t>MC_CtrlPara_CurrentLoop_UdMax</t>
    <phoneticPr fontId="1" type="noConversion"/>
  </si>
  <si>
    <t>MC_CtrlPara_CurrentLoop_UdMin</t>
    <phoneticPr fontId="1" type="noConversion"/>
  </si>
  <si>
    <t>MC_CtrlPara_CurrentLoop_UqMax</t>
    <phoneticPr fontId="1" type="noConversion"/>
  </si>
  <si>
    <t>MC_CtrlPara_CurrentLoop_UqMin</t>
    <phoneticPr fontId="1" type="noConversion"/>
  </si>
  <si>
    <t>MC_CtrlPara_CurrentPI_KpD</t>
    <phoneticPr fontId="1" type="noConversion"/>
  </si>
  <si>
    <t>MC_CtrlPara_CurrentPI_KiD</t>
    <phoneticPr fontId="1" type="noConversion"/>
  </si>
  <si>
    <t>MC_CtrlPara_CurrentPI_KpQ</t>
    <phoneticPr fontId="1" type="noConversion"/>
  </si>
  <si>
    <t>MC_CtrlPara_CurrentPI_KiQ</t>
    <phoneticPr fontId="1" type="noConversion"/>
  </si>
  <si>
    <t>MC_CtrlPara_4</t>
  </si>
  <si>
    <t>MC_CtrlPara_5</t>
  </si>
  <si>
    <t>MC_CtrlPara_6</t>
  </si>
  <si>
    <t>MC_CtrlPara_7</t>
  </si>
  <si>
    <t>MC_CtrlPara_8</t>
  </si>
  <si>
    <t>MC_CtrlPara_9</t>
  </si>
  <si>
    <t>MC_CtrlPara_10</t>
  </si>
  <si>
    <t>MC_CtrlPara_11</t>
  </si>
  <si>
    <t>MC_CtrlPara_12</t>
  </si>
  <si>
    <t>MC_CtrlPara_13</t>
  </si>
  <si>
    <t>MC_CtrlPara_14</t>
  </si>
  <si>
    <t>MC_CtrlPara_15</t>
  </si>
  <si>
    <t>MC_CtrlPara_16</t>
  </si>
  <si>
    <t>MC_CtrlPara_17</t>
  </si>
  <si>
    <t>MC_CtrlPara_18</t>
  </si>
  <si>
    <t>MC_CtrlPara_19</t>
  </si>
  <si>
    <t>MC_CtrlPara_20</t>
  </si>
  <si>
    <t>MC_CtrlPara_21</t>
  </si>
  <si>
    <t>MC_CtrlPara_22</t>
  </si>
  <si>
    <t>MC_CtrlPara_23</t>
  </si>
  <si>
    <t>MC_CtrlPara_24</t>
  </si>
  <si>
    <t>MC_CtrlPara_25</t>
  </si>
  <si>
    <t>MC_CtrlPara_26</t>
  </si>
  <si>
    <t>MC_CtrlPara_27</t>
  </si>
  <si>
    <t>MC_CtrlPara_28</t>
  </si>
  <si>
    <t>MC_CtrlPara_29</t>
  </si>
  <si>
    <t>MC_CtrlPara_30</t>
  </si>
  <si>
    <t>MC_CtrlPara_31</t>
  </si>
  <si>
    <t>MC_CtrlPara_32</t>
  </si>
  <si>
    <t>MC_CtrlPara_33</t>
  </si>
  <si>
    <t>MC_CtrlPara_34</t>
  </si>
  <si>
    <t>MC_CtrlPara_35</t>
  </si>
  <si>
    <t>MC_CtrlPara_36</t>
  </si>
  <si>
    <t>MC_CtrlPara_37</t>
  </si>
  <si>
    <t>MC_CtrlPara_38</t>
  </si>
  <si>
    <t>MC_CtrlPara_39</t>
  </si>
  <si>
    <t>MC_CtrlPara_40</t>
  </si>
  <si>
    <t>MC_CtrlPara_41</t>
  </si>
  <si>
    <t>MC_Param_CurrentLoop_AntiWinding</t>
    <phoneticPr fontId="1" type="noConversion"/>
  </si>
  <si>
    <t>电流环PI控制器积分分离阈值</t>
    <phoneticPr fontId="1" type="noConversion"/>
  </si>
  <si>
    <t>电机位置环PI控制器Kp值</t>
    <phoneticPr fontId="1" type="noConversion"/>
  </si>
  <si>
    <t>电机转矩环PI控制器Kp值</t>
    <phoneticPr fontId="1" type="noConversion"/>
  </si>
  <si>
    <t>电机转矩环PI控制器Ki值</t>
    <phoneticPr fontId="1" type="noConversion"/>
  </si>
  <si>
    <t>电机转速环PI控制器Kp值</t>
    <phoneticPr fontId="1" type="noConversion"/>
  </si>
  <si>
    <t>电机转速环PI控制器Ki值</t>
    <phoneticPr fontId="1" type="noConversion"/>
  </si>
  <si>
    <t>电机D轴电流环PI控制器Kp值</t>
    <phoneticPr fontId="1" type="noConversion"/>
  </si>
  <si>
    <t>电机D轴电流环PI控制器Ki值</t>
    <phoneticPr fontId="1" type="noConversion"/>
  </si>
  <si>
    <t>电机Q轴电流环PI控制器Kp值</t>
    <phoneticPr fontId="1" type="noConversion"/>
  </si>
  <si>
    <t>电机Q轴电流环Pi控制器Ki值</t>
    <phoneticPr fontId="1" type="noConversion"/>
  </si>
  <si>
    <t>电机D轴电流环PI控制器Ud最大值</t>
    <phoneticPr fontId="1" type="noConversion"/>
  </si>
  <si>
    <t>电机D轴电流环PI控制器Ud最小值</t>
    <phoneticPr fontId="1" type="noConversion"/>
  </si>
  <si>
    <t>电机Q轴电流环PI控制器Uq最大值</t>
    <phoneticPr fontId="1" type="noConversion"/>
  </si>
  <si>
    <t>电机Q轴电流环PI控制器Uq最小值</t>
    <phoneticPr fontId="1" type="noConversion"/>
  </si>
  <si>
    <t>电机控制参数1</t>
    <phoneticPr fontId="1" type="noConversion"/>
  </si>
  <si>
    <t>电机控制参数2</t>
  </si>
  <si>
    <t>电机控制参数3</t>
  </si>
  <si>
    <t>电机控制参数4</t>
  </si>
  <si>
    <t>电机控制参数5</t>
  </si>
  <si>
    <t>电机控制参数6</t>
  </si>
  <si>
    <t>电机控制参数7</t>
  </si>
  <si>
    <t>电机控制参数8</t>
  </si>
  <si>
    <t>电机控制参数9</t>
  </si>
  <si>
    <t>电机控制参数10</t>
  </si>
  <si>
    <t>电机控制参数11</t>
  </si>
  <si>
    <t>电机控制参数12</t>
  </si>
  <si>
    <t>电机控制参数13</t>
  </si>
  <si>
    <t>电机控制参数14</t>
  </si>
  <si>
    <t>电机控制参数15</t>
  </si>
  <si>
    <t>电机控制参数16</t>
  </si>
  <si>
    <t>电机控制参数17</t>
  </si>
  <si>
    <t>电机控制参数18</t>
  </si>
  <si>
    <t>电机控制参数19</t>
  </si>
  <si>
    <t>电机控制参数20</t>
  </si>
  <si>
    <t>电机控制参数21</t>
  </si>
  <si>
    <t>电机控制参数22</t>
  </si>
  <si>
    <t>电机控制参数23</t>
  </si>
  <si>
    <t>电机控制参数24</t>
  </si>
  <si>
    <t>电机控制参数25</t>
  </si>
  <si>
    <t>电机控制参数26</t>
  </si>
  <si>
    <t>电机控制参数27</t>
  </si>
  <si>
    <t>电机控制参数28</t>
  </si>
  <si>
    <t>电机控制参数29</t>
  </si>
  <si>
    <t>电机控制参数30</t>
  </si>
  <si>
    <t>电机控制参数31</t>
  </si>
  <si>
    <t>电机控制参数32</t>
  </si>
  <si>
    <t>电机控制参数33</t>
  </si>
  <si>
    <t>电机控制参数34</t>
  </si>
  <si>
    <t>电机控制参数35</t>
  </si>
  <si>
    <t>电机控制参数36</t>
  </si>
  <si>
    <t>电机控制参数37</t>
  </si>
  <si>
    <t>电机控制参数38</t>
  </si>
  <si>
    <t>电机控制参数39</t>
  </si>
  <si>
    <t>电机控制参数40</t>
  </si>
  <si>
    <t>电机控制参数41</t>
  </si>
  <si>
    <t>MC_MotorModel_Mechinal_Inertia</t>
    <phoneticPr fontId="1" type="noConversion"/>
  </si>
  <si>
    <t>MC_CtrlPara_CurrentPI_AntiWindingD</t>
    <phoneticPr fontId="1" type="noConversion"/>
  </si>
  <si>
    <t>MC_CtrlPara_CurrentPI_AntiWindingQ</t>
    <phoneticPr fontId="1" type="noConversion"/>
  </si>
  <si>
    <t>电机D轴电流环PI控制器积分分离阈值</t>
    <phoneticPr fontId="1" type="noConversion"/>
  </si>
  <si>
    <t>电机Q轴电流环Pi控制器积分分离阈值</t>
    <phoneticPr fontId="1" type="noConversion"/>
  </si>
  <si>
    <t>MC_CtrlPara_PhaseCurrentRC_Gain</t>
    <phoneticPr fontId="1" type="noConversion"/>
  </si>
  <si>
    <t>MC_CtrlPara_BusCurrentRC_Gain</t>
    <phoneticPr fontId="1" type="noConversion"/>
  </si>
  <si>
    <t>MC_CtrlPara_3</t>
    <phoneticPr fontId="1" type="noConversion"/>
  </si>
  <si>
    <t>MC_Hardware_Chip_ADCVoltageOffset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</si>
</sst>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3" borderId="0" xfId="0" applyFill="1"/>
    <xf numFmtId="11" fontId="0" fillId="3" borderId="1" xfId="0" applyNumberForma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" borderId="4" xfId="0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94D84-3A89-4378-8252-1AFCF13D6357}">
  <dimension ref="A1:E10"/>
  <sheetViews>
    <sheetView workbookViewId="0">
      <selection activeCell="E11" sqref="E11"/>
    </sheetView>
  </sheetViews>
  <sheetFormatPr defaultRowHeight="14" x14ac:dyDescent="0.3"/>
  <cols>
    <col min="1" max="1" width="28.75" style="16" customWidth="1"/>
    <col min="2" max="2" width="10.58203125" style="16" customWidth="1"/>
    <col min="3" max="3" width="12" style="16" customWidth="1"/>
    <col min="4" max="4" width="16.83203125" style="16" customWidth="1"/>
    <col min="5" max="5" width="15.83203125" style="16" customWidth="1"/>
  </cols>
  <sheetData>
    <row r="1" spans="1:5" x14ac:dyDescent="0.3">
      <c r="A1" s="8" t="s">
        <v>172</v>
      </c>
      <c r="B1" s="14" t="s">
        <v>1</v>
      </c>
      <c r="C1" s="8" t="s">
        <v>13</v>
      </c>
      <c r="D1" s="8" t="s">
        <v>173</v>
      </c>
      <c r="E1" s="8" t="s">
        <v>4</v>
      </c>
    </row>
    <row r="2" spans="1:5" x14ac:dyDescent="0.3">
      <c r="A2" s="16" t="s">
        <v>174</v>
      </c>
      <c r="B2" s="16">
        <v>4200</v>
      </c>
      <c r="C2" s="16" t="s">
        <v>183</v>
      </c>
      <c r="D2" s="16">
        <f>B2/32768</f>
        <v>0.128173828125</v>
      </c>
      <c r="E2" s="16" t="s">
        <v>190</v>
      </c>
    </row>
    <row r="3" spans="1:5" x14ac:dyDescent="0.3">
      <c r="A3" s="16" t="s">
        <v>175</v>
      </c>
      <c r="B3" s="16">
        <v>13.5</v>
      </c>
      <c r="C3" s="16" t="s">
        <v>184</v>
      </c>
      <c r="D3" s="16">
        <f t="shared" ref="D3:D10" si="0">B3/32768</f>
        <v>4.119873046875E-4</v>
      </c>
      <c r="E3" s="16" t="s">
        <v>191</v>
      </c>
    </row>
    <row r="4" spans="1:5" x14ac:dyDescent="0.3">
      <c r="A4" s="16" t="s">
        <v>176</v>
      </c>
      <c r="B4" s="16">
        <v>55</v>
      </c>
      <c r="C4" s="16" t="s">
        <v>185</v>
      </c>
      <c r="D4" s="16">
        <f t="shared" si="0"/>
        <v>1.678466796875E-3</v>
      </c>
      <c r="E4" s="16" t="s">
        <v>192</v>
      </c>
    </row>
    <row r="5" spans="1:5" x14ac:dyDescent="0.3">
      <c r="A5" s="16" t="s">
        <v>177</v>
      </c>
      <c r="B5" s="16">
        <f>B3/B4</f>
        <v>0.24545454545454545</v>
      </c>
      <c r="C5" s="16" t="s">
        <v>186</v>
      </c>
      <c r="D5" s="16">
        <f t="shared" si="0"/>
        <v>7.4906782670454545E-6</v>
      </c>
      <c r="E5" s="16" t="s">
        <v>193</v>
      </c>
    </row>
    <row r="6" spans="1:5" x14ac:dyDescent="0.3">
      <c r="A6" s="16" t="s">
        <v>178</v>
      </c>
      <c r="B6" s="16">
        <f>B3/(B7*B4)</f>
        <v>1.5502104846613182E-7</v>
      </c>
      <c r="C6" s="16" t="s">
        <v>187</v>
      </c>
      <c r="D6" s="16">
        <f t="shared" si="0"/>
        <v>4.7308669575845894E-12</v>
      </c>
      <c r="E6" s="16" t="s">
        <v>194</v>
      </c>
    </row>
    <row r="7" spans="1:5" x14ac:dyDescent="0.3">
      <c r="A7" s="16" t="s">
        <v>180</v>
      </c>
      <c r="B7" s="16">
        <f>B2*60*2*PI()</f>
        <v>1583362.6974092557</v>
      </c>
      <c r="C7" s="16" t="s">
        <v>188</v>
      </c>
      <c r="D7" s="16">
        <f t="shared" si="0"/>
        <v>48.320394818397695</v>
      </c>
      <c r="E7" s="16" t="s">
        <v>195</v>
      </c>
    </row>
    <row r="8" spans="1:5" x14ac:dyDescent="0.3">
      <c r="A8" s="16" t="s">
        <v>179</v>
      </c>
      <c r="B8" s="16">
        <f>B2*60</f>
        <v>252000</v>
      </c>
      <c r="C8" s="16" t="s">
        <v>109</v>
      </c>
      <c r="D8" s="16">
        <f t="shared" si="0"/>
        <v>7.6904296875</v>
      </c>
      <c r="E8" s="16" t="s">
        <v>196</v>
      </c>
    </row>
    <row r="9" spans="1:5" x14ac:dyDescent="0.3">
      <c r="A9" s="16" t="s">
        <v>181</v>
      </c>
      <c r="B9" s="16">
        <f>B3/B7</f>
        <v>8.5261576656372507E-6</v>
      </c>
      <c r="C9" s="16" t="s">
        <v>189</v>
      </c>
      <c r="D9" s="16">
        <f t="shared" si="0"/>
        <v>2.6019768266715243E-10</v>
      </c>
      <c r="E9" s="16" t="s">
        <v>197</v>
      </c>
    </row>
    <row r="10" spans="1:5" x14ac:dyDescent="0.3">
      <c r="A10" s="16" t="s">
        <v>182</v>
      </c>
      <c r="B10" s="16">
        <f>1/B8</f>
        <v>3.9682539682539681E-6</v>
      </c>
      <c r="C10" s="16" t="s">
        <v>110</v>
      </c>
      <c r="D10" s="16">
        <f t="shared" si="0"/>
        <v>1.2110150049603174E-10</v>
      </c>
      <c r="E10" s="16" t="s">
        <v>198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5"/>
  <sheetViews>
    <sheetView workbookViewId="0">
      <selection activeCell="C2" sqref="C2"/>
    </sheetView>
  </sheetViews>
  <sheetFormatPr defaultRowHeight="14" x14ac:dyDescent="0.3"/>
  <cols>
    <col min="1" max="1" width="31.83203125" style="3" customWidth="1"/>
    <col min="2" max="2" width="14.25" style="3" customWidth="1"/>
    <col min="3" max="3" width="29.08203125" style="3" customWidth="1"/>
    <col min="4" max="5" width="13.33203125" style="3" customWidth="1"/>
    <col min="6" max="6" width="12.5" style="3" customWidth="1"/>
    <col min="7" max="7" width="19.08203125" style="3" customWidth="1"/>
    <col min="8" max="8" width="30.33203125" style="3" customWidth="1"/>
    <col min="9" max="9" width="13.33203125" style="11" customWidth="1"/>
  </cols>
  <sheetData>
    <row r="1" spans="1:11" s="2" customFormat="1" ht="20.25" customHeight="1" x14ac:dyDescent="0.3">
      <c r="A1" s="8" t="s">
        <v>15</v>
      </c>
      <c r="B1" s="8" t="s">
        <v>0</v>
      </c>
      <c r="C1" s="14" t="s">
        <v>1</v>
      </c>
      <c r="D1" s="8" t="s">
        <v>5</v>
      </c>
      <c r="E1" s="8" t="s">
        <v>6</v>
      </c>
      <c r="F1" s="8" t="s">
        <v>2</v>
      </c>
      <c r="G1" s="8" t="s">
        <v>3</v>
      </c>
      <c r="H1" s="8" t="s">
        <v>4</v>
      </c>
      <c r="I1" s="8" t="s">
        <v>13</v>
      </c>
    </row>
    <row r="2" spans="1:11" x14ac:dyDescent="0.3">
      <c r="A2" s="3" t="s">
        <v>103</v>
      </c>
      <c r="B2" s="3" t="s">
        <v>7</v>
      </c>
      <c r="C2" s="3">
        <v>40000000</v>
      </c>
      <c r="D2" s="3">
        <v>0</v>
      </c>
      <c r="E2" s="6">
        <v>1000000000</v>
      </c>
      <c r="F2" s="3" t="s">
        <v>14</v>
      </c>
      <c r="G2" s="3" t="s">
        <v>76</v>
      </c>
      <c r="H2" s="3" t="s">
        <v>106</v>
      </c>
      <c r="I2" s="3" t="s">
        <v>109</v>
      </c>
      <c r="J2" s="5"/>
      <c r="K2" s="5"/>
    </row>
    <row r="3" spans="1:11" x14ac:dyDescent="0.3">
      <c r="A3" s="3" t="s">
        <v>105</v>
      </c>
      <c r="B3" s="3" t="s">
        <v>7</v>
      </c>
      <c r="C3" s="3">
        <v>15000</v>
      </c>
      <c r="D3" s="3">
        <v>0</v>
      </c>
      <c r="E3" s="6">
        <f>C2/100</f>
        <v>400000</v>
      </c>
      <c r="F3" s="3" t="s">
        <v>14</v>
      </c>
      <c r="G3" s="3" t="s">
        <v>76</v>
      </c>
      <c r="H3" s="3" t="s">
        <v>107</v>
      </c>
      <c r="I3" s="3" t="s">
        <v>109</v>
      </c>
      <c r="J3" s="5"/>
      <c r="K3" s="5"/>
    </row>
    <row r="4" spans="1:11" x14ac:dyDescent="0.3">
      <c r="A4" s="3" t="s">
        <v>104</v>
      </c>
      <c r="B4" s="3" t="s">
        <v>7</v>
      </c>
      <c r="C4" s="3">
        <v>500</v>
      </c>
      <c r="D4" s="3">
        <v>0</v>
      </c>
      <c r="E4" s="6">
        <f>C3/10</f>
        <v>1500</v>
      </c>
      <c r="F4" s="3" t="s">
        <v>14</v>
      </c>
      <c r="G4" s="3" t="s">
        <v>76</v>
      </c>
      <c r="H4" s="3" t="s">
        <v>108</v>
      </c>
      <c r="I4" s="3" t="s">
        <v>109</v>
      </c>
      <c r="J4" s="5"/>
      <c r="K4" s="5"/>
    </row>
    <row r="5" spans="1:11" x14ac:dyDescent="0.3">
      <c r="A5" s="3" t="s">
        <v>8</v>
      </c>
      <c r="B5" s="3" t="s">
        <v>7</v>
      </c>
      <c r="C5" s="3">
        <f>ROUND(1/C2,13)</f>
        <v>2.4999999999999999E-8</v>
      </c>
      <c r="D5" s="3">
        <v>0</v>
      </c>
      <c r="E5" s="6">
        <f>C6/100</f>
        <v>6.6674999999999991E-7</v>
      </c>
      <c r="F5" s="3" t="s">
        <v>14</v>
      </c>
      <c r="G5" s="3" t="s">
        <v>76</v>
      </c>
      <c r="H5" s="3" t="s">
        <v>69</v>
      </c>
      <c r="I5" s="3" t="s">
        <v>110</v>
      </c>
      <c r="J5" s="5"/>
      <c r="K5" s="5"/>
    </row>
    <row r="6" spans="1:11" x14ac:dyDescent="0.3">
      <c r="A6" s="3" t="s">
        <v>9</v>
      </c>
      <c r="B6" s="3" t="s">
        <v>7</v>
      </c>
      <c r="C6" s="3">
        <f>ROUND((C2/C3),0)*C5</f>
        <v>6.6674999999999994E-5</v>
      </c>
      <c r="D6" s="3">
        <v>0</v>
      </c>
      <c r="E6" s="6">
        <f>C7/10</f>
        <v>2.00025E-4</v>
      </c>
      <c r="F6" s="3" t="s">
        <v>14</v>
      </c>
      <c r="G6" s="3" t="s">
        <v>76</v>
      </c>
      <c r="H6" s="3" t="s">
        <v>11</v>
      </c>
      <c r="I6" s="3" t="s">
        <v>110</v>
      </c>
      <c r="J6" s="5"/>
      <c r="K6" s="5"/>
    </row>
    <row r="7" spans="1:11" x14ac:dyDescent="0.3">
      <c r="A7" s="3" t="s">
        <v>10</v>
      </c>
      <c r="B7" s="3" t="s">
        <v>7</v>
      </c>
      <c r="C7" s="3">
        <f>ROUND((C3/C4),0)*C6</f>
        <v>2.0002499999999999E-3</v>
      </c>
      <c r="D7" s="3">
        <v>0</v>
      </c>
      <c r="E7" s="3">
        <v>1</v>
      </c>
      <c r="F7" s="3" t="s">
        <v>14</v>
      </c>
      <c r="G7" s="3" t="s">
        <v>76</v>
      </c>
      <c r="H7" s="3" t="s">
        <v>12</v>
      </c>
      <c r="I7" s="3" t="s">
        <v>110</v>
      </c>
      <c r="J7" s="5"/>
      <c r="K7" s="5"/>
    </row>
    <row r="8" spans="1:11" x14ac:dyDescent="0.3">
      <c r="A8" s="3" t="s">
        <v>132</v>
      </c>
      <c r="B8" s="3" t="s">
        <v>7</v>
      </c>
      <c r="C8" s="3">
        <v>0</v>
      </c>
      <c r="D8" s="3">
        <v>0</v>
      </c>
      <c r="E8" s="3">
        <v>1</v>
      </c>
      <c r="F8" s="3" t="s">
        <v>14</v>
      </c>
      <c r="G8" s="3" t="s">
        <v>76</v>
      </c>
      <c r="H8" s="3" t="s">
        <v>134</v>
      </c>
      <c r="I8" s="3" t="s">
        <v>111</v>
      </c>
      <c r="J8" s="5"/>
      <c r="K8" s="5"/>
    </row>
    <row r="9" spans="1:11" x14ac:dyDescent="0.3">
      <c r="A9" s="3" t="s">
        <v>133</v>
      </c>
      <c r="B9" s="3" t="s">
        <v>7</v>
      </c>
      <c r="C9" s="3">
        <v>0</v>
      </c>
      <c r="D9" s="3">
        <v>0</v>
      </c>
      <c r="E9" s="3">
        <v>1</v>
      </c>
      <c r="F9" s="3" t="s">
        <v>14</v>
      </c>
      <c r="G9" s="3" t="s">
        <v>76</v>
      </c>
      <c r="H9" s="3" t="s">
        <v>135</v>
      </c>
      <c r="I9" s="3" t="s">
        <v>111</v>
      </c>
      <c r="J9" s="5"/>
      <c r="K9" s="5"/>
    </row>
    <row r="10" spans="1:11" x14ac:dyDescent="0.3">
      <c r="A10" s="3" t="s">
        <v>130</v>
      </c>
      <c r="B10" s="3" t="s">
        <v>7</v>
      </c>
      <c r="C10" s="3">
        <v>0</v>
      </c>
      <c r="D10" s="3">
        <v>0</v>
      </c>
      <c r="E10" s="3">
        <v>1</v>
      </c>
      <c r="F10" s="3" t="s">
        <v>14</v>
      </c>
      <c r="G10" s="3" t="s">
        <v>76</v>
      </c>
      <c r="H10" s="3" t="s">
        <v>136</v>
      </c>
      <c r="I10" s="3" t="s">
        <v>111</v>
      </c>
      <c r="J10" s="5"/>
      <c r="K10" s="5"/>
    </row>
    <row r="11" spans="1:11" x14ac:dyDescent="0.3">
      <c r="A11" s="3" t="s">
        <v>131</v>
      </c>
      <c r="B11" s="3" t="s">
        <v>7</v>
      </c>
      <c r="C11" s="3">
        <v>0</v>
      </c>
      <c r="D11" s="3">
        <v>0</v>
      </c>
      <c r="E11" s="3">
        <v>1</v>
      </c>
      <c r="F11" s="3" t="s">
        <v>14</v>
      </c>
      <c r="G11" s="3" t="s">
        <v>76</v>
      </c>
      <c r="H11" s="3" t="s">
        <v>137</v>
      </c>
      <c r="I11" s="3" t="s">
        <v>111</v>
      </c>
      <c r="J11" s="5"/>
      <c r="K11" s="5"/>
    </row>
    <row r="12" spans="1:11" x14ac:dyDescent="0.3">
      <c r="A12" s="3" t="s">
        <v>37</v>
      </c>
      <c r="B12" s="3" t="s">
        <v>7</v>
      </c>
      <c r="C12" s="3">
        <v>0</v>
      </c>
      <c r="D12" s="3">
        <v>0</v>
      </c>
      <c r="E12" s="3">
        <v>1</v>
      </c>
      <c r="F12" s="3" t="s">
        <v>14</v>
      </c>
      <c r="G12" s="3" t="s">
        <v>76</v>
      </c>
      <c r="H12" s="3" t="s">
        <v>71</v>
      </c>
      <c r="I12" s="3" t="s">
        <v>111</v>
      </c>
      <c r="J12" s="5"/>
      <c r="K12" s="5"/>
    </row>
    <row r="13" spans="1:11" x14ac:dyDescent="0.3">
      <c r="A13" s="3" t="s">
        <v>129</v>
      </c>
      <c r="B13" s="3" t="s">
        <v>7</v>
      </c>
      <c r="C13" s="3">
        <v>0</v>
      </c>
      <c r="D13" s="3">
        <v>0</v>
      </c>
      <c r="E13" s="3">
        <v>1</v>
      </c>
      <c r="F13" s="3" t="s">
        <v>14</v>
      </c>
      <c r="G13" s="3" t="s">
        <v>76</v>
      </c>
      <c r="H13" s="3" t="s">
        <v>138</v>
      </c>
      <c r="I13" s="3" t="s">
        <v>111</v>
      </c>
      <c r="J13" s="5"/>
      <c r="K13" s="5"/>
    </row>
    <row r="14" spans="1:11" x14ac:dyDescent="0.3">
      <c r="A14" s="3" t="s">
        <v>70</v>
      </c>
      <c r="B14" s="3" t="s">
        <v>7</v>
      </c>
      <c r="C14" s="3">
        <v>0</v>
      </c>
      <c r="D14" s="3">
        <v>0</v>
      </c>
      <c r="E14" s="3">
        <v>1</v>
      </c>
      <c r="F14" s="3" t="s">
        <v>14</v>
      </c>
      <c r="G14" s="3" t="s">
        <v>76</v>
      </c>
      <c r="H14" s="3" t="s">
        <v>72</v>
      </c>
      <c r="I14" s="3" t="s">
        <v>111</v>
      </c>
      <c r="J14" s="5"/>
      <c r="K14" s="5"/>
    </row>
    <row r="15" spans="1:11" x14ac:dyDescent="0.3">
      <c r="A15" s="3" t="s">
        <v>153</v>
      </c>
      <c r="B15" s="3" t="s">
        <v>7</v>
      </c>
      <c r="C15" s="3">
        <v>0</v>
      </c>
      <c r="D15" s="3">
        <v>0</v>
      </c>
      <c r="E15" s="3">
        <v>1</v>
      </c>
      <c r="F15" s="3" t="s">
        <v>14</v>
      </c>
      <c r="G15" s="3" t="s">
        <v>76</v>
      </c>
      <c r="H15" s="3" t="s">
        <v>152</v>
      </c>
      <c r="I15" s="3" t="s">
        <v>111</v>
      </c>
      <c r="J15" s="5"/>
      <c r="K15" s="5"/>
    </row>
    <row r="16" spans="1:11" x14ac:dyDescent="0.3">
      <c r="A16" s="3" t="s">
        <v>74</v>
      </c>
      <c r="B16" s="3" t="s">
        <v>7</v>
      </c>
      <c r="C16" s="3">
        <v>0</v>
      </c>
      <c r="D16" s="3">
        <v>0</v>
      </c>
      <c r="E16" s="3">
        <v>1</v>
      </c>
      <c r="F16" s="3" t="s">
        <v>14</v>
      </c>
      <c r="G16" s="3" t="s">
        <v>76</v>
      </c>
      <c r="H16" s="3" t="s">
        <v>75</v>
      </c>
      <c r="I16" s="3" t="s">
        <v>111</v>
      </c>
      <c r="J16" s="5"/>
      <c r="K16" s="5"/>
    </row>
    <row r="17" spans="1:11" x14ac:dyDescent="0.3">
      <c r="A17" s="3" t="s">
        <v>38</v>
      </c>
      <c r="B17" s="3" t="s">
        <v>7</v>
      </c>
      <c r="C17" s="3">
        <v>0</v>
      </c>
      <c r="D17" s="3">
        <v>0</v>
      </c>
      <c r="E17" s="3">
        <v>1</v>
      </c>
      <c r="F17" s="3" t="s">
        <v>14</v>
      </c>
      <c r="G17" s="3" t="s">
        <v>76</v>
      </c>
      <c r="H17" s="3" t="s">
        <v>73</v>
      </c>
      <c r="I17" s="3" t="s">
        <v>111</v>
      </c>
      <c r="J17" s="5"/>
      <c r="K17" s="5"/>
    </row>
    <row r="18" spans="1:11" x14ac:dyDescent="0.3">
      <c r="I18" s="3"/>
      <c r="J18" s="5"/>
      <c r="K18" s="5"/>
    </row>
    <row r="19" spans="1:11" x14ac:dyDescent="0.3">
      <c r="I19" s="3"/>
      <c r="J19" s="5"/>
      <c r="K19" s="5"/>
    </row>
    <row r="20" spans="1:11" x14ac:dyDescent="0.3">
      <c r="I20" s="3"/>
      <c r="J20" s="5"/>
      <c r="K20" s="5"/>
    </row>
    <row r="21" spans="1:11" x14ac:dyDescent="0.3">
      <c r="I21" s="3"/>
      <c r="J21" s="5"/>
      <c r="K21" s="5"/>
    </row>
    <row r="22" spans="1:11" x14ac:dyDescent="0.3">
      <c r="I22" s="3"/>
      <c r="J22" s="5"/>
      <c r="K22" s="5"/>
    </row>
    <row r="23" spans="1:11" x14ac:dyDescent="0.3">
      <c r="I23" s="3"/>
      <c r="J23" s="5"/>
      <c r="K23" s="5"/>
    </row>
    <row r="24" spans="1:11" x14ac:dyDescent="0.3">
      <c r="I24" s="3"/>
      <c r="J24" s="5"/>
      <c r="K24" s="5"/>
    </row>
    <row r="25" spans="1:11" x14ac:dyDescent="0.3">
      <c r="I25" s="3"/>
      <c r="J25" s="5"/>
      <c r="K25" s="5"/>
    </row>
    <row r="26" spans="1:11" x14ac:dyDescent="0.3">
      <c r="I26" s="3"/>
      <c r="J26" s="5"/>
      <c r="K26" s="5"/>
    </row>
    <row r="27" spans="1:11" x14ac:dyDescent="0.3">
      <c r="I27" s="3"/>
      <c r="J27" s="5"/>
      <c r="K27" s="5"/>
    </row>
    <row r="28" spans="1:11" x14ac:dyDescent="0.3">
      <c r="I28" s="3"/>
      <c r="J28" s="5"/>
      <c r="K28" s="5"/>
    </row>
    <row r="29" spans="1:11" x14ac:dyDescent="0.3">
      <c r="I29" s="3"/>
      <c r="J29" s="5"/>
      <c r="K29" s="5"/>
    </row>
    <row r="30" spans="1:11" x14ac:dyDescent="0.3">
      <c r="I30" s="3"/>
      <c r="J30" s="5"/>
      <c r="K30" s="5"/>
    </row>
    <row r="31" spans="1:11" x14ac:dyDescent="0.3">
      <c r="I31" s="3"/>
      <c r="J31" s="5"/>
      <c r="K31" s="5"/>
    </row>
    <row r="32" spans="1:11" x14ac:dyDescent="0.3">
      <c r="I32" s="3"/>
      <c r="J32" s="5"/>
      <c r="K32" s="5"/>
    </row>
    <row r="33" spans="5:11" x14ac:dyDescent="0.3">
      <c r="I33" s="3"/>
      <c r="J33" s="5"/>
      <c r="K33" s="5"/>
    </row>
    <row r="34" spans="5:11" x14ac:dyDescent="0.3">
      <c r="I34" s="3"/>
      <c r="J34" s="5"/>
      <c r="K34" s="5"/>
    </row>
    <row r="35" spans="5:11" x14ac:dyDescent="0.3">
      <c r="I35" s="3"/>
      <c r="J35" s="5"/>
      <c r="K35" s="5"/>
    </row>
    <row r="36" spans="5:11" x14ac:dyDescent="0.3">
      <c r="I36" s="3"/>
      <c r="J36" s="5"/>
      <c r="K36" s="5"/>
    </row>
    <row r="37" spans="5:11" x14ac:dyDescent="0.3">
      <c r="E37" s="6"/>
      <c r="I37" s="3"/>
      <c r="J37" s="5"/>
      <c r="K37" s="5"/>
    </row>
    <row r="38" spans="5:11" x14ac:dyDescent="0.3">
      <c r="I38" s="3"/>
      <c r="J38" s="5"/>
      <c r="K38" s="5"/>
    </row>
    <row r="39" spans="5:11" x14ac:dyDescent="0.3">
      <c r="I39" s="3"/>
      <c r="J39" s="5"/>
      <c r="K39" s="5"/>
    </row>
    <row r="40" spans="5:11" x14ac:dyDescent="0.3">
      <c r="I40" s="3"/>
      <c r="J40" s="5"/>
      <c r="K40" s="5"/>
    </row>
    <row r="41" spans="5:11" x14ac:dyDescent="0.3">
      <c r="I41" s="3"/>
      <c r="J41" s="5"/>
      <c r="K41" s="5"/>
    </row>
    <row r="42" spans="5:11" x14ac:dyDescent="0.3">
      <c r="I42" s="3"/>
      <c r="J42" s="5"/>
      <c r="K42" s="5"/>
    </row>
    <row r="43" spans="5:11" x14ac:dyDescent="0.3">
      <c r="E43" s="6"/>
      <c r="I43" s="3"/>
      <c r="J43" s="5"/>
      <c r="K43" s="5"/>
    </row>
    <row r="44" spans="5:11" x14ac:dyDescent="0.3">
      <c r="I44" s="3"/>
      <c r="J44" s="5"/>
      <c r="K44" s="5"/>
    </row>
    <row r="45" spans="5:11" x14ac:dyDescent="0.3">
      <c r="I45" s="3"/>
      <c r="J45" s="5"/>
      <c r="K45" s="5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9796-439D-4218-8351-215451A32352}">
  <dimension ref="A1:K34"/>
  <sheetViews>
    <sheetView tabSelected="1" zoomScale="115" zoomScaleNormal="115" workbookViewId="0">
      <selection activeCell="A34" sqref="A34"/>
    </sheetView>
  </sheetViews>
  <sheetFormatPr defaultRowHeight="14" x14ac:dyDescent="0.3"/>
  <cols>
    <col min="1" max="1" width="34.5" style="3" customWidth="1"/>
    <col min="2" max="2" width="11.5" style="3" customWidth="1"/>
    <col min="3" max="3" width="12" style="3" customWidth="1"/>
    <col min="4" max="4" width="14.5" style="3" customWidth="1"/>
    <col min="5" max="5" width="15.25" style="3" customWidth="1"/>
    <col min="6" max="6" width="14.25" style="3" customWidth="1"/>
    <col min="7" max="7" width="21.08203125" style="3" customWidth="1"/>
    <col min="8" max="8" width="23.5" style="3" customWidth="1"/>
    <col min="9" max="9" width="13.33203125" style="11" customWidth="1"/>
  </cols>
  <sheetData>
    <row r="1" spans="1:11" s="2" customFormat="1" ht="20.25" customHeight="1" x14ac:dyDescent="0.3">
      <c r="A1" s="8" t="s">
        <v>15</v>
      </c>
      <c r="B1" s="8" t="s">
        <v>0</v>
      </c>
      <c r="C1" s="8" t="s">
        <v>1</v>
      </c>
      <c r="D1" s="8" t="s">
        <v>5</v>
      </c>
      <c r="E1" s="8" t="s">
        <v>6</v>
      </c>
      <c r="F1" s="8" t="s">
        <v>2</v>
      </c>
      <c r="G1" s="8" t="s">
        <v>3</v>
      </c>
      <c r="H1" s="8" t="s">
        <v>4</v>
      </c>
      <c r="I1" s="8" t="s">
        <v>13</v>
      </c>
    </row>
    <row r="2" spans="1:11" ht="28" x14ac:dyDescent="0.3">
      <c r="A2" s="3" t="s">
        <v>16</v>
      </c>
      <c r="B2" s="3" t="s">
        <v>7</v>
      </c>
      <c r="C2" s="3">
        <v>0</v>
      </c>
      <c r="D2" s="3">
        <v>0</v>
      </c>
      <c r="E2" s="3">
        <v>1</v>
      </c>
      <c r="F2" s="3" t="s">
        <v>14</v>
      </c>
      <c r="G2" s="3" t="s">
        <v>76</v>
      </c>
      <c r="H2" s="3" t="s">
        <v>169</v>
      </c>
    </row>
    <row r="3" spans="1:11" ht="42" x14ac:dyDescent="0.3">
      <c r="A3" s="3" t="s">
        <v>17</v>
      </c>
      <c r="B3" s="3" t="s">
        <v>7</v>
      </c>
      <c r="C3" s="3">
        <v>1</v>
      </c>
      <c r="D3" s="3">
        <v>1</v>
      </c>
      <c r="E3" s="3">
        <v>2</v>
      </c>
      <c r="F3" s="3" t="s">
        <v>14</v>
      </c>
      <c r="G3" s="3" t="s">
        <v>76</v>
      </c>
      <c r="H3" s="3" t="s">
        <v>244</v>
      </c>
    </row>
    <row r="4" spans="1:11" x14ac:dyDescent="0.3">
      <c r="A4" s="3" t="s">
        <v>18</v>
      </c>
      <c r="B4" s="3" t="s">
        <v>7</v>
      </c>
      <c r="C4" s="3">
        <v>0</v>
      </c>
      <c r="D4" s="3">
        <v>0</v>
      </c>
      <c r="E4" s="3">
        <v>1</v>
      </c>
      <c r="F4" s="3" t="s">
        <v>14</v>
      </c>
      <c r="G4" s="3" t="s">
        <v>76</v>
      </c>
      <c r="H4" s="3" t="s">
        <v>77</v>
      </c>
    </row>
    <row r="5" spans="1:11" x14ac:dyDescent="0.3">
      <c r="A5" s="3" t="s">
        <v>19</v>
      </c>
      <c r="B5" s="3" t="s">
        <v>7</v>
      </c>
      <c r="C5" s="3">
        <v>16200</v>
      </c>
      <c r="D5" s="3">
        <v>0</v>
      </c>
      <c r="E5" s="3">
        <v>1</v>
      </c>
      <c r="F5" s="3" t="s">
        <v>14</v>
      </c>
      <c r="G5" s="3" t="s">
        <v>76</v>
      </c>
      <c r="H5" s="3" t="s">
        <v>78</v>
      </c>
    </row>
    <row r="6" spans="1:11" s="2" customFormat="1" x14ac:dyDescent="0.3">
      <c r="A6" s="3" t="s">
        <v>39</v>
      </c>
      <c r="B6" s="3" t="s">
        <v>7</v>
      </c>
      <c r="C6" s="3">
        <v>0</v>
      </c>
      <c r="D6" s="3">
        <v>0</v>
      </c>
      <c r="E6" s="3">
        <v>1</v>
      </c>
      <c r="F6" s="3" t="s">
        <v>14</v>
      </c>
      <c r="G6" s="3" t="s">
        <v>76</v>
      </c>
      <c r="H6" s="3" t="s">
        <v>80</v>
      </c>
      <c r="I6" s="3"/>
    </row>
    <row r="7" spans="1:11" x14ac:dyDescent="0.3">
      <c r="A7" s="12" t="s">
        <v>384</v>
      </c>
      <c r="B7" s="3" t="s">
        <v>7</v>
      </c>
      <c r="C7" s="12">
        <v>1.3999999999999999E-6</v>
      </c>
      <c r="D7" s="3">
        <v>0</v>
      </c>
      <c r="E7" s="3">
        <v>1</v>
      </c>
      <c r="F7" s="3" t="s">
        <v>14</v>
      </c>
      <c r="G7" s="3" t="s">
        <v>76</v>
      </c>
      <c r="H7" s="12" t="s">
        <v>79</v>
      </c>
      <c r="I7" s="13"/>
    </row>
    <row r="8" spans="1:11" x14ac:dyDescent="0.3">
      <c r="A8" s="3" t="s">
        <v>251</v>
      </c>
      <c r="B8" s="3" t="s">
        <v>7</v>
      </c>
      <c r="C8" s="6">
        <v>9.9999999999999995E-7</v>
      </c>
      <c r="D8" s="3">
        <v>0</v>
      </c>
      <c r="E8" s="3">
        <v>1</v>
      </c>
      <c r="F8" s="3" t="s">
        <v>14</v>
      </c>
      <c r="G8" s="3" t="s">
        <v>76</v>
      </c>
      <c r="H8" s="3" t="s">
        <v>81</v>
      </c>
    </row>
    <row r="9" spans="1:11" x14ac:dyDescent="0.3">
      <c r="A9" s="3" t="s">
        <v>252</v>
      </c>
      <c r="B9" s="3" t="s">
        <v>7</v>
      </c>
      <c r="C9" s="6">
        <v>9.9999999999999995E-7</v>
      </c>
      <c r="D9" s="3">
        <v>0</v>
      </c>
      <c r="E9" s="3">
        <v>1</v>
      </c>
      <c r="F9" s="3" t="s">
        <v>14</v>
      </c>
      <c r="G9" s="3" t="s">
        <v>76</v>
      </c>
      <c r="H9" s="3" t="s">
        <v>82</v>
      </c>
      <c r="K9" s="17"/>
    </row>
    <row r="10" spans="1:11" x14ac:dyDescent="0.3">
      <c r="A10" s="3" t="s">
        <v>253</v>
      </c>
      <c r="B10" s="3" t="s">
        <v>7</v>
      </c>
      <c r="C10" s="6">
        <v>9.9999999999999995E-7</v>
      </c>
      <c r="D10" s="3">
        <v>0</v>
      </c>
      <c r="E10" s="3">
        <v>1</v>
      </c>
      <c r="F10" s="3" t="s">
        <v>14</v>
      </c>
      <c r="G10" s="3" t="s">
        <v>76</v>
      </c>
      <c r="H10" s="3" t="s">
        <v>83</v>
      </c>
      <c r="K10" s="17"/>
    </row>
    <row r="11" spans="1:11" x14ac:dyDescent="0.3">
      <c r="A11" s="3" t="s">
        <v>247</v>
      </c>
      <c r="B11" s="3" t="s">
        <v>7</v>
      </c>
      <c r="C11" s="3">
        <f>电机转子磁链*电机极对数*2*PI()*1000/(60*0.5774)</f>
        <v>1.2090954291612952</v>
      </c>
      <c r="D11" s="3">
        <v>0</v>
      </c>
      <c r="E11" s="3">
        <v>1</v>
      </c>
      <c r="F11" s="3" t="s">
        <v>14</v>
      </c>
      <c r="G11" s="3" t="s">
        <v>76</v>
      </c>
      <c r="H11" s="3" t="s">
        <v>84</v>
      </c>
      <c r="K11" s="17"/>
    </row>
    <row r="12" spans="1:11" x14ac:dyDescent="0.3">
      <c r="A12" s="3" t="s">
        <v>250</v>
      </c>
      <c r="B12" s="3" t="s">
        <v>7</v>
      </c>
      <c r="C12" s="3">
        <f>C13*2/(3*C34)</f>
        <v>3.3333333333333335E-3</v>
      </c>
      <c r="D12" s="3">
        <v>0</v>
      </c>
      <c r="E12" s="3">
        <v>1</v>
      </c>
      <c r="F12" s="3" t="s">
        <v>14</v>
      </c>
      <c r="G12" s="3" t="s">
        <v>76</v>
      </c>
      <c r="H12" s="3" t="s">
        <v>85</v>
      </c>
    </row>
    <row r="13" spans="1:11" x14ac:dyDescent="0.3">
      <c r="A13" s="3" t="s">
        <v>245</v>
      </c>
      <c r="B13" s="3" t="s">
        <v>7</v>
      </c>
      <c r="C13" s="3">
        <v>0.01</v>
      </c>
      <c r="D13" s="3">
        <v>0</v>
      </c>
      <c r="E13" s="3">
        <v>100</v>
      </c>
      <c r="F13" s="3" t="s">
        <v>14</v>
      </c>
      <c r="G13" s="3" t="s">
        <v>76</v>
      </c>
      <c r="H13" s="3" t="s">
        <v>246</v>
      </c>
    </row>
    <row r="14" spans="1:11" x14ac:dyDescent="0.3">
      <c r="A14" s="3" t="s">
        <v>240</v>
      </c>
      <c r="B14" s="3" t="s">
        <v>7</v>
      </c>
      <c r="C14" s="3">
        <v>0.17499999999999999</v>
      </c>
      <c r="D14" s="3">
        <v>0</v>
      </c>
      <c r="E14" s="3">
        <v>1</v>
      </c>
      <c r="F14" s="3" t="s">
        <v>14</v>
      </c>
      <c r="G14" s="3" t="s">
        <v>76</v>
      </c>
      <c r="H14" s="3" t="s">
        <v>242</v>
      </c>
    </row>
    <row r="15" spans="1:11" x14ac:dyDescent="0.3">
      <c r="A15" s="3" t="s">
        <v>20</v>
      </c>
      <c r="B15" s="3" t="s">
        <v>7</v>
      </c>
      <c r="C15" s="3">
        <f>IF(C3=1,C14/2,C14*3/2)</f>
        <v>8.7499999999999994E-2</v>
      </c>
      <c r="D15" s="3">
        <v>0</v>
      </c>
      <c r="E15" s="3">
        <v>1</v>
      </c>
      <c r="F15" s="3" t="s">
        <v>14</v>
      </c>
      <c r="G15" s="3" t="s">
        <v>76</v>
      </c>
      <c r="H15" s="3" t="s">
        <v>86</v>
      </c>
    </row>
    <row r="16" spans="1:11" x14ac:dyDescent="0.3">
      <c r="A16" s="3" t="s">
        <v>21</v>
      </c>
      <c r="B16" s="3" t="s">
        <v>7</v>
      </c>
      <c r="C16" s="3">
        <f>IF(C3=1,C14/2,C14*3/2)</f>
        <v>8.7499999999999994E-2</v>
      </c>
      <c r="D16" s="3">
        <v>0</v>
      </c>
      <c r="E16" s="3">
        <v>1</v>
      </c>
      <c r="F16" s="3" t="s">
        <v>14</v>
      </c>
      <c r="G16" s="3" t="s">
        <v>76</v>
      </c>
      <c r="H16" s="3" t="s">
        <v>87</v>
      </c>
    </row>
    <row r="17" spans="1:8" x14ac:dyDescent="0.3">
      <c r="A17" s="3" t="s">
        <v>22</v>
      </c>
      <c r="B17" s="3" t="s">
        <v>7</v>
      </c>
      <c r="C17" s="3">
        <f>IF(C3=1,C14/2,C14*3/2)</f>
        <v>8.7499999999999994E-2</v>
      </c>
      <c r="D17" s="3">
        <v>0</v>
      </c>
      <c r="E17" s="3">
        <v>1</v>
      </c>
      <c r="F17" s="3" t="s">
        <v>14</v>
      </c>
      <c r="G17" s="3" t="s">
        <v>76</v>
      </c>
      <c r="H17" s="3" t="s">
        <v>88</v>
      </c>
    </row>
    <row r="18" spans="1:8" x14ac:dyDescent="0.3">
      <c r="A18" s="3" t="s">
        <v>170</v>
      </c>
      <c r="B18" s="3" t="s">
        <v>7</v>
      </c>
      <c r="C18" s="3">
        <f>AVERAGE(C15:C17)</f>
        <v>8.7499999999999981E-2</v>
      </c>
      <c r="D18" s="3">
        <v>0</v>
      </c>
      <c r="E18" s="3">
        <v>1</v>
      </c>
      <c r="F18" s="3" t="s">
        <v>14</v>
      </c>
      <c r="G18" s="3" t="s">
        <v>76</v>
      </c>
      <c r="H18" s="3" t="s">
        <v>171</v>
      </c>
    </row>
    <row r="19" spans="1:8" x14ac:dyDescent="0.3">
      <c r="A19" s="3" t="s">
        <v>241</v>
      </c>
      <c r="B19" s="3" t="s">
        <v>7</v>
      </c>
      <c r="C19" s="3">
        <v>1.1E-4</v>
      </c>
      <c r="D19" s="3">
        <v>0</v>
      </c>
      <c r="E19" s="3">
        <v>1</v>
      </c>
      <c r="F19" s="3" t="s">
        <v>14</v>
      </c>
      <c r="G19" s="3" t="s">
        <v>76</v>
      </c>
      <c r="H19" s="3" t="s">
        <v>243</v>
      </c>
    </row>
    <row r="20" spans="1:8" x14ac:dyDescent="0.3">
      <c r="A20" s="3" t="s">
        <v>23</v>
      </c>
      <c r="B20" s="3" t="s">
        <v>7</v>
      </c>
      <c r="C20" s="3">
        <f>IF(C3=1,C19/2,C19*3/2)</f>
        <v>5.5000000000000002E-5</v>
      </c>
      <c r="D20" s="3">
        <v>0</v>
      </c>
      <c r="E20" s="3">
        <v>1</v>
      </c>
      <c r="F20" s="3" t="s">
        <v>14</v>
      </c>
      <c r="G20" s="3" t="s">
        <v>76</v>
      </c>
      <c r="H20" s="3" t="s">
        <v>89</v>
      </c>
    </row>
    <row r="21" spans="1:8" x14ac:dyDescent="0.3">
      <c r="A21" s="3" t="s">
        <v>24</v>
      </c>
      <c r="B21" s="3" t="s">
        <v>7</v>
      </c>
      <c r="C21" s="3">
        <f>IF(C3=1,C19/2,C19*3/2)</f>
        <v>5.5000000000000002E-5</v>
      </c>
      <c r="D21" s="3">
        <v>0</v>
      </c>
      <c r="E21" s="3">
        <v>1</v>
      </c>
      <c r="F21" s="3" t="s">
        <v>14</v>
      </c>
      <c r="G21" s="3" t="s">
        <v>76</v>
      </c>
      <c r="H21" s="3" t="s">
        <v>90</v>
      </c>
    </row>
    <row r="22" spans="1:8" x14ac:dyDescent="0.3">
      <c r="A22" s="3" t="s">
        <v>25</v>
      </c>
      <c r="B22" s="3" t="s">
        <v>7</v>
      </c>
      <c r="C22" s="3">
        <f>IF(C3=1,C19/2,C19*3/2)</f>
        <v>5.5000000000000002E-5</v>
      </c>
      <c r="D22" s="3">
        <v>0</v>
      </c>
      <c r="E22" s="3">
        <v>1</v>
      </c>
      <c r="F22" s="3" t="s">
        <v>14</v>
      </c>
      <c r="G22" s="3" t="s">
        <v>76</v>
      </c>
      <c r="H22" s="3" t="s">
        <v>91</v>
      </c>
    </row>
    <row r="23" spans="1:8" x14ac:dyDescent="0.3">
      <c r="A23" s="3" t="s">
        <v>248</v>
      </c>
      <c r="B23" s="3" t="s">
        <v>7</v>
      </c>
      <c r="C23" s="3">
        <f>AVERAGE(C20:C22)</f>
        <v>5.5000000000000002E-5</v>
      </c>
      <c r="D23" s="3">
        <v>0</v>
      </c>
      <c r="E23" s="3">
        <v>1</v>
      </c>
      <c r="F23" s="3" t="s">
        <v>14</v>
      </c>
      <c r="G23" s="3" t="s">
        <v>76</v>
      </c>
      <c r="H23" s="3" t="s">
        <v>249</v>
      </c>
    </row>
    <row r="24" spans="1:8" x14ac:dyDescent="0.3">
      <c r="A24" s="3" t="s">
        <v>26</v>
      </c>
      <c r="B24" s="3" t="s">
        <v>7</v>
      </c>
      <c r="C24" s="3">
        <f>C18</f>
        <v>8.7499999999999981E-2</v>
      </c>
      <c r="D24" s="3">
        <v>0</v>
      </c>
      <c r="E24" s="3">
        <v>1</v>
      </c>
      <c r="F24" s="3" t="s">
        <v>14</v>
      </c>
      <c r="G24" s="3" t="s">
        <v>76</v>
      </c>
      <c r="H24" s="3" t="s">
        <v>94</v>
      </c>
    </row>
    <row r="25" spans="1:8" x14ac:dyDescent="0.3">
      <c r="A25" s="3" t="s">
        <v>27</v>
      </c>
      <c r="B25" s="3" t="s">
        <v>7</v>
      </c>
      <c r="C25" s="3">
        <f>C24</f>
        <v>8.7499999999999981E-2</v>
      </c>
      <c r="D25" s="3">
        <v>0</v>
      </c>
      <c r="E25" s="3">
        <v>1</v>
      </c>
      <c r="F25" s="3" t="s">
        <v>14</v>
      </c>
      <c r="G25" s="3" t="s">
        <v>76</v>
      </c>
      <c r="H25" s="3" t="s">
        <v>95</v>
      </c>
    </row>
    <row r="26" spans="1:8" x14ac:dyDescent="0.3">
      <c r="A26" s="3" t="s">
        <v>28</v>
      </c>
      <c r="B26" s="3" t="s">
        <v>7</v>
      </c>
      <c r="C26" s="3">
        <f>C22</f>
        <v>5.5000000000000002E-5</v>
      </c>
      <c r="D26" s="3">
        <v>0</v>
      </c>
      <c r="E26" s="3">
        <v>1</v>
      </c>
      <c r="F26" s="3" t="s">
        <v>14</v>
      </c>
      <c r="G26" s="3" t="s">
        <v>76</v>
      </c>
      <c r="H26" s="3" t="s">
        <v>96</v>
      </c>
    </row>
    <row r="27" spans="1:8" x14ac:dyDescent="0.3">
      <c r="A27" s="3" t="s">
        <v>29</v>
      </c>
      <c r="B27" s="3" t="s">
        <v>7</v>
      </c>
      <c r="C27" s="3">
        <f>C26</f>
        <v>5.5000000000000002E-5</v>
      </c>
      <c r="D27" s="3">
        <v>0</v>
      </c>
      <c r="E27" s="3">
        <v>1</v>
      </c>
      <c r="F27" s="3" t="s">
        <v>14</v>
      </c>
      <c r="G27" s="3" t="s">
        <v>76</v>
      </c>
      <c r="H27" s="3" t="s">
        <v>97</v>
      </c>
    </row>
    <row r="28" spans="1:8" x14ac:dyDescent="0.3">
      <c r="A28" s="3" t="s">
        <v>30</v>
      </c>
      <c r="B28" s="3" t="s">
        <v>7</v>
      </c>
      <c r="C28" s="3">
        <v>0</v>
      </c>
      <c r="D28" s="3">
        <v>0</v>
      </c>
      <c r="E28" s="3">
        <v>1</v>
      </c>
      <c r="F28" s="3" t="s">
        <v>14</v>
      </c>
      <c r="G28" s="3" t="s">
        <v>76</v>
      </c>
      <c r="H28" s="3" t="s">
        <v>92</v>
      </c>
    </row>
    <row r="29" spans="1:8" x14ac:dyDescent="0.3">
      <c r="A29" s="3" t="s">
        <v>32</v>
      </c>
      <c r="B29" s="3" t="s">
        <v>7</v>
      </c>
      <c r="C29" s="3">
        <f>C24</f>
        <v>8.7499999999999981E-2</v>
      </c>
      <c r="D29" s="3">
        <v>0</v>
      </c>
      <c r="E29" s="3">
        <v>1</v>
      </c>
      <c r="F29" s="3" t="s">
        <v>14</v>
      </c>
      <c r="G29" s="3" t="s">
        <v>76</v>
      </c>
      <c r="H29" s="3" t="s">
        <v>99</v>
      </c>
    </row>
    <row r="30" spans="1:8" x14ac:dyDescent="0.3">
      <c r="A30" s="3" t="s">
        <v>33</v>
      </c>
      <c r="B30" s="3" t="s">
        <v>7</v>
      </c>
      <c r="C30" s="3">
        <f>C25</f>
        <v>8.7499999999999981E-2</v>
      </c>
      <c r="D30" s="3">
        <v>0</v>
      </c>
      <c r="E30" s="3">
        <v>1</v>
      </c>
      <c r="F30" s="3" t="s">
        <v>14</v>
      </c>
      <c r="G30" s="3" t="s">
        <v>76</v>
      </c>
      <c r="H30" s="3" t="s">
        <v>100</v>
      </c>
    </row>
    <row r="31" spans="1:8" x14ac:dyDescent="0.3">
      <c r="A31" s="3" t="s">
        <v>31</v>
      </c>
      <c r="B31" s="3" t="s">
        <v>7</v>
      </c>
      <c r="C31" s="3">
        <f>C26</f>
        <v>5.5000000000000002E-5</v>
      </c>
      <c r="D31" s="3">
        <v>0</v>
      </c>
      <c r="E31" s="3">
        <v>1</v>
      </c>
      <c r="F31" s="3" t="s">
        <v>14</v>
      </c>
      <c r="G31" s="3" t="s">
        <v>76</v>
      </c>
      <c r="H31" s="3" t="s">
        <v>93</v>
      </c>
    </row>
    <row r="32" spans="1:8" x14ac:dyDescent="0.3">
      <c r="A32" s="3" t="s">
        <v>34</v>
      </c>
      <c r="B32" s="3" t="s">
        <v>7</v>
      </c>
      <c r="C32" s="3">
        <f>C27</f>
        <v>5.5000000000000002E-5</v>
      </c>
      <c r="D32" s="3">
        <v>0</v>
      </c>
      <c r="E32" s="3">
        <v>1</v>
      </c>
      <c r="F32" s="3" t="s">
        <v>14</v>
      </c>
      <c r="G32" s="3" t="s">
        <v>76</v>
      </c>
      <c r="H32" s="3" t="s">
        <v>98</v>
      </c>
    </row>
    <row r="33" spans="1:8" x14ac:dyDescent="0.3">
      <c r="A33" s="3" t="s">
        <v>35</v>
      </c>
      <c r="B33" s="3" t="s">
        <v>7</v>
      </c>
      <c r="C33" s="3">
        <v>0</v>
      </c>
      <c r="D33" s="3">
        <v>0</v>
      </c>
      <c r="E33" s="3">
        <v>1</v>
      </c>
      <c r="F33" s="3" t="s">
        <v>14</v>
      </c>
      <c r="G33" s="3" t="s">
        <v>76</v>
      </c>
      <c r="H33" s="3" t="s">
        <v>101</v>
      </c>
    </row>
    <row r="34" spans="1:8" x14ac:dyDescent="0.3">
      <c r="A34" s="3" t="s">
        <v>36</v>
      </c>
      <c r="B34" s="3" t="s">
        <v>7</v>
      </c>
      <c r="C34" s="3">
        <v>2</v>
      </c>
      <c r="D34" s="3">
        <v>0</v>
      </c>
      <c r="E34" s="3">
        <v>48</v>
      </c>
      <c r="F34" s="3" t="s">
        <v>14</v>
      </c>
      <c r="G34" s="3" t="s">
        <v>76</v>
      </c>
      <c r="H34" s="3" t="s">
        <v>102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44938-6B5D-40C1-8F40-515C706BD968}">
  <dimension ref="A1:I69"/>
  <sheetViews>
    <sheetView zoomScaleNormal="100" workbookViewId="0">
      <selection activeCell="A13" sqref="A13"/>
    </sheetView>
  </sheetViews>
  <sheetFormatPr defaultRowHeight="14" x14ac:dyDescent="0.3"/>
  <cols>
    <col min="1" max="1" width="45.58203125" style="3" customWidth="1"/>
    <col min="2" max="2" width="15.75" style="3" customWidth="1"/>
    <col min="3" max="3" width="10.25" style="3" customWidth="1"/>
    <col min="4" max="5" width="13.33203125" style="3" customWidth="1"/>
    <col min="6" max="6" width="12.5" style="3" customWidth="1"/>
    <col min="7" max="7" width="19.08203125" style="3" customWidth="1"/>
    <col min="8" max="8" width="29.25" style="3" customWidth="1"/>
    <col min="9" max="9" width="13.33203125" style="10" customWidth="1"/>
  </cols>
  <sheetData>
    <row r="1" spans="1:9" s="2" customFormat="1" ht="20.25" customHeight="1" x14ac:dyDescent="0.3">
      <c r="A1" s="8" t="s">
        <v>15</v>
      </c>
      <c r="B1" s="8" t="s">
        <v>0</v>
      </c>
      <c r="C1" s="8" t="s">
        <v>1</v>
      </c>
      <c r="D1" s="8" t="s">
        <v>5</v>
      </c>
      <c r="E1" s="8" t="s">
        <v>6</v>
      </c>
      <c r="F1" s="8" t="s">
        <v>2</v>
      </c>
      <c r="G1" s="8" t="s">
        <v>3</v>
      </c>
      <c r="H1" s="8" t="s">
        <v>4</v>
      </c>
      <c r="I1" s="9" t="s">
        <v>13</v>
      </c>
    </row>
    <row r="2" spans="1:9" x14ac:dyDescent="0.3">
      <c r="A2" s="3" t="s">
        <v>158</v>
      </c>
      <c r="B2" s="3" t="s">
        <v>7</v>
      </c>
      <c r="C2" s="3">
        <f>220*SQRT(2)</f>
        <v>311.12698372208092</v>
      </c>
      <c r="D2" s="3">
        <v>0</v>
      </c>
      <c r="E2" s="3">
        <v>1000</v>
      </c>
      <c r="F2" s="3" t="s">
        <v>14</v>
      </c>
      <c r="G2" s="3" t="s">
        <v>76</v>
      </c>
      <c r="H2" s="3" t="s">
        <v>112</v>
      </c>
    </row>
    <row r="3" spans="1:9" x14ac:dyDescent="0.3">
      <c r="A3" s="3" t="s">
        <v>40</v>
      </c>
      <c r="B3" s="3" t="s">
        <v>7</v>
      </c>
      <c r="C3" s="3">
        <f>C2</f>
        <v>311.12698372208092</v>
      </c>
      <c r="D3" s="3">
        <v>0</v>
      </c>
      <c r="E3" s="3">
        <f>C2</f>
        <v>311.12698372208092</v>
      </c>
      <c r="F3" s="3" t="s">
        <v>14</v>
      </c>
      <c r="G3" s="3" t="s">
        <v>76</v>
      </c>
      <c r="H3" s="3" t="s">
        <v>113</v>
      </c>
    </row>
    <row r="4" spans="1:9" x14ac:dyDescent="0.3">
      <c r="A4" s="3" t="s">
        <v>41</v>
      </c>
      <c r="B4" s="3" t="s">
        <v>7</v>
      </c>
      <c r="C4" s="3">
        <v>0</v>
      </c>
      <c r="D4" s="3">
        <v>0</v>
      </c>
      <c r="E4" s="3">
        <f>C2</f>
        <v>311.12698372208092</v>
      </c>
      <c r="F4" s="3" t="s">
        <v>14</v>
      </c>
      <c r="G4" s="3" t="s">
        <v>76</v>
      </c>
      <c r="H4" s="3" t="s">
        <v>114</v>
      </c>
    </row>
    <row r="5" spans="1:9" x14ac:dyDescent="0.3">
      <c r="A5" s="3" t="s">
        <v>42</v>
      </c>
      <c r="B5" s="3" t="s">
        <v>7</v>
      </c>
      <c r="C5" s="3">
        <v>100</v>
      </c>
      <c r="D5" s="3">
        <v>0</v>
      </c>
      <c r="E5" s="3">
        <v>200</v>
      </c>
      <c r="F5" s="3" t="s">
        <v>14</v>
      </c>
      <c r="G5" s="3" t="s">
        <v>76</v>
      </c>
      <c r="H5" s="3" t="s">
        <v>115</v>
      </c>
    </row>
    <row r="6" spans="1:9" x14ac:dyDescent="0.3">
      <c r="A6" s="3" t="s">
        <v>43</v>
      </c>
      <c r="B6" s="3" t="s">
        <v>7</v>
      </c>
      <c r="C6" s="3">
        <v>0</v>
      </c>
      <c r="D6" s="3">
        <v>0</v>
      </c>
      <c r="E6" s="3">
        <v>1</v>
      </c>
      <c r="F6" s="3" t="s">
        <v>14</v>
      </c>
      <c r="G6" s="3" t="s">
        <v>76</v>
      </c>
      <c r="H6" s="3" t="s">
        <v>116</v>
      </c>
    </row>
    <row r="7" spans="1:9" x14ac:dyDescent="0.3">
      <c r="A7" s="3" t="s">
        <v>44</v>
      </c>
      <c r="B7" s="3" t="s">
        <v>7</v>
      </c>
      <c r="C7" s="3">
        <v>0</v>
      </c>
      <c r="D7" s="3">
        <v>0</v>
      </c>
      <c r="E7" s="3">
        <v>1</v>
      </c>
      <c r="F7" s="3" t="s">
        <v>14</v>
      </c>
      <c r="G7" s="3" t="s">
        <v>76</v>
      </c>
      <c r="H7" s="3" t="s">
        <v>117</v>
      </c>
    </row>
    <row r="8" spans="1:9" x14ac:dyDescent="0.3">
      <c r="A8" s="3" t="s">
        <v>45</v>
      </c>
      <c r="B8" s="3" t="s">
        <v>7</v>
      </c>
      <c r="C8" s="3">
        <f>仿真基础时钟</f>
        <v>40000000</v>
      </c>
      <c r="D8" s="3">
        <v>0</v>
      </c>
      <c r="E8" s="3">
        <v>1</v>
      </c>
      <c r="F8" s="3" t="s">
        <v>14</v>
      </c>
      <c r="G8" s="3" t="s">
        <v>76</v>
      </c>
      <c r="H8" s="3" t="s">
        <v>118</v>
      </c>
    </row>
    <row r="9" spans="1:9" x14ac:dyDescent="0.3">
      <c r="A9" s="3" t="s">
        <v>47</v>
      </c>
      <c r="B9" s="3" t="s">
        <v>7</v>
      </c>
      <c r="C9" s="3">
        <f>C8</f>
        <v>40000000</v>
      </c>
      <c r="D9" s="3">
        <v>0</v>
      </c>
      <c r="E9" s="3">
        <v>1</v>
      </c>
      <c r="F9" s="3" t="s">
        <v>14</v>
      </c>
      <c r="G9" s="3" t="s">
        <v>76</v>
      </c>
      <c r="H9" s="3" t="s">
        <v>119</v>
      </c>
    </row>
    <row r="10" spans="1:9" x14ac:dyDescent="0.3">
      <c r="A10" s="3" t="s">
        <v>48</v>
      </c>
      <c r="B10" s="3" t="s">
        <v>7</v>
      </c>
      <c r="C10" s="3">
        <v>1</v>
      </c>
      <c r="D10" s="3">
        <v>0</v>
      </c>
      <c r="E10" s="3">
        <v>128</v>
      </c>
      <c r="F10" s="3" t="s">
        <v>14</v>
      </c>
      <c r="G10" s="3" t="s">
        <v>76</v>
      </c>
      <c r="H10" s="3" t="s">
        <v>120</v>
      </c>
    </row>
    <row r="11" spans="1:9" x14ac:dyDescent="0.3">
      <c r="A11" s="3" t="s">
        <v>49</v>
      </c>
      <c r="B11" s="3" t="s">
        <v>7</v>
      </c>
      <c r="C11" s="3">
        <v>1</v>
      </c>
      <c r="D11" s="3">
        <v>0</v>
      </c>
      <c r="E11" s="3">
        <v>128</v>
      </c>
      <c r="F11" s="3" t="s">
        <v>14</v>
      </c>
      <c r="G11" s="3" t="s">
        <v>76</v>
      </c>
      <c r="H11" s="3" t="s">
        <v>121</v>
      </c>
    </row>
    <row r="12" spans="1:9" x14ac:dyDescent="0.3">
      <c r="A12" s="3" t="s">
        <v>50</v>
      </c>
      <c r="B12" s="3" t="s">
        <v>7</v>
      </c>
      <c r="C12" s="3">
        <v>1</v>
      </c>
      <c r="D12" s="3">
        <v>0</v>
      </c>
      <c r="E12" s="3">
        <v>128</v>
      </c>
      <c r="F12" s="3" t="s">
        <v>14</v>
      </c>
      <c r="G12" s="3" t="s">
        <v>76</v>
      </c>
      <c r="H12" s="3" t="s">
        <v>122</v>
      </c>
    </row>
    <row r="13" spans="1:9" x14ac:dyDescent="0.3">
      <c r="A13" s="3" t="s">
        <v>51</v>
      </c>
      <c r="B13" s="3" t="s">
        <v>7</v>
      </c>
      <c r="C13" s="3">
        <v>1</v>
      </c>
      <c r="D13" s="3">
        <v>0</v>
      </c>
      <c r="E13" s="3">
        <v>100</v>
      </c>
      <c r="F13" s="3" t="s">
        <v>14</v>
      </c>
      <c r="G13" s="3" t="s">
        <v>76</v>
      </c>
      <c r="H13" s="3" t="s">
        <v>124</v>
      </c>
    </row>
    <row r="14" spans="1:9" x14ac:dyDescent="0.3">
      <c r="A14" s="3" t="s">
        <v>392</v>
      </c>
      <c r="B14" s="3" t="s">
        <v>7</v>
      </c>
      <c r="C14" s="3">
        <v>0</v>
      </c>
      <c r="D14" s="3">
        <v>0</v>
      </c>
      <c r="E14" s="3">
        <v>1</v>
      </c>
      <c r="F14" s="3" t="s">
        <v>14</v>
      </c>
      <c r="G14" s="3" t="s">
        <v>76</v>
      </c>
      <c r="H14" s="3" t="s">
        <v>123</v>
      </c>
    </row>
    <row r="15" spans="1:9" x14ac:dyDescent="0.3">
      <c r="A15" s="3" t="s">
        <v>52</v>
      </c>
      <c r="B15" s="3" t="s">
        <v>7</v>
      </c>
      <c r="C15" s="3">
        <v>12</v>
      </c>
      <c r="D15" s="3">
        <v>0</v>
      </c>
      <c r="E15" s="3">
        <v>16</v>
      </c>
      <c r="F15" s="3" t="s">
        <v>14</v>
      </c>
      <c r="G15" s="3" t="s">
        <v>76</v>
      </c>
      <c r="H15" s="3" t="s">
        <v>125</v>
      </c>
    </row>
    <row r="16" spans="1:9" x14ac:dyDescent="0.3">
      <c r="A16" s="3" t="s">
        <v>53</v>
      </c>
      <c r="B16" s="3" t="s">
        <v>7</v>
      </c>
      <c r="C16" s="3">
        <v>1</v>
      </c>
      <c r="D16" s="3">
        <v>0</v>
      </c>
      <c r="E16" s="3">
        <v>1</v>
      </c>
      <c r="F16" s="3" t="s">
        <v>14</v>
      </c>
      <c r="G16" s="3" t="s">
        <v>76</v>
      </c>
      <c r="H16" s="3" t="s">
        <v>265</v>
      </c>
    </row>
    <row r="17" spans="1:8" x14ac:dyDescent="0.3">
      <c r="A17" s="3" t="s">
        <v>46</v>
      </c>
      <c r="B17" s="3" t="s">
        <v>7</v>
      </c>
      <c r="C17" s="3">
        <f>仿真高频任务时钟</f>
        <v>15000</v>
      </c>
      <c r="D17" s="3">
        <v>0</v>
      </c>
      <c r="E17" s="3">
        <v>1</v>
      </c>
      <c r="F17" s="3" t="s">
        <v>14</v>
      </c>
      <c r="G17" s="3" t="s">
        <v>76</v>
      </c>
      <c r="H17" s="3" t="s">
        <v>126</v>
      </c>
    </row>
    <row r="18" spans="1:8" x14ac:dyDescent="0.3">
      <c r="A18" s="3" t="s">
        <v>159</v>
      </c>
      <c r="B18" s="3" t="s">
        <v>7</v>
      </c>
      <c r="C18" s="3">
        <v>1E-3</v>
      </c>
      <c r="D18" s="3">
        <v>0</v>
      </c>
      <c r="E18" s="3">
        <v>1</v>
      </c>
      <c r="F18" s="3" t="s">
        <v>14</v>
      </c>
      <c r="G18" s="3" t="s">
        <v>76</v>
      </c>
      <c r="H18" s="3" t="s">
        <v>164</v>
      </c>
    </row>
    <row r="19" spans="1:8" x14ac:dyDescent="0.3">
      <c r="A19" s="3" t="s">
        <v>160</v>
      </c>
      <c r="B19" s="3" t="s">
        <v>7</v>
      </c>
      <c r="C19" s="3">
        <v>0</v>
      </c>
      <c r="D19" s="3">
        <v>0</v>
      </c>
      <c r="E19" s="3">
        <v>1</v>
      </c>
      <c r="F19" s="3" t="s">
        <v>14</v>
      </c>
      <c r="G19" s="3" t="s">
        <v>76</v>
      </c>
      <c r="H19" s="15" t="s">
        <v>165</v>
      </c>
    </row>
    <row r="20" spans="1:8" x14ac:dyDescent="0.3">
      <c r="A20" s="3" t="s">
        <v>161</v>
      </c>
      <c r="B20" s="3" t="s">
        <v>7</v>
      </c>
      <c r="C20" s="3">
        <v>0.8</v>
      </c>
      <c r="D20" s="3">
        <v>0</v>
      </c>
      <c r="E20" s="3">
        <v>1</v>
      </c>
      <c r="F20" s="3" t="s">
        <v>14</v>
      </c>
      <c r="G20" s="3" t="s">
        <v>76</v>
      </c>
      <c r="H20" s="3" t="s">
        <v>166</v>
      </c>
    </row>
    <row r="21" spans="1:8" x14ac:dyDescent="0.3">
      <c r="A21" s="3" t="s">
        <v>162</v>
      </c>
      <c r="B21" s="3" t="s">
        <v>7</v>
      </c>
      <c r="C21" s="3">
        <v>500</v>
      </c>
      <c r="D21" s="3">
        <v>0</v>
      </c>
      <c r="E21" s="3">
        <v>1000</v>
      </c>
      <c r="F21" s="3" t="s">
        <v>14</v>
      </c>
      <c r="G21" s="3" t="s">
        <v>76</v>
      </c>
      <c r="H21" s="3" t="s">
        <v>167</v>
      </c>
    </row>
    <row r="22" spans="1:8" x14ac:dyDescent="0.3">
      <c r="A22" s="3" t="s">
        <v>163</v>
      </c>
      <c r="B22" s="3" t="s">
        <v>7</v>
      </c>
      <c r="C22" s="6">
        <v>2.5000000000000001E-9</v>
      </c>
      <c r="D22" s="3">
        <v>0</v>
      </c>
      <c r="E22" s="3">
        <v>1</v>
      </c>
      <c r="F22" s="3" t="s">
        <v>14</v>
      </c>
      <c r="G22" s="3" t="s">
        <v>76</v>
      </c>
      <c r="H22" s="3" t="s">
        <v>168</v>
      </c>
    </row>
    <row r="23" spans="1:8" x14ac:dyDescent="0.3">
      <c r="A23" s="3" t="s">
        <v>139</v>
      </c>
      <c r="B23" s="3" t="s">
        <v>7</v>
      </c>
      <c r="C23" s="3">
        <v>1E-3</v>
      </c>
      <c r="D23" s="3">
        <v>0</v>
      </c>
      <c r="E23" s="3">
        <v>1</v>
      </c>
      <c r="F23" s="3" t="s">
        <v>14</v>
      </c>
      <c r="G23" s="3" t="s">
        <v>76</v>
      </c>
      <c r="H23" s="3" t="s">
        <v>143</v>
      </c>
    </row>
    <row r="24" spans="1:8" x14ac:dyDescent="0.3">
      <c r="A24" s="3" t="s">
        <v>140</v>
      </c>
      <c r="B24" s="3" t="s">
        <v>7</v>
      </c>
      <c r="C24" s="3">
        <v>0</v>
      </c>
      <c r="D24" s="3">
        <v>0</v>
      </c>
      <c r="E24" s="3">
        <v>1</v>
      </c>
      <c r="F24" s="3" t="s">
        <v>14</v>
      </c>
      <c r="G24" s="3" t="s">
        <v>76</v>
      </c>
      <c r="H24" s="15" t="s">
        <v>144</v>
      </c>
    </row>
    <row r="25" spans="1:8" x14ac:dyDescent="0.3">
      <c r="A25" s="3" t="s">
        <v>141</v>
      </c>
      <c r="B25" s="3" t="s">
        <v>7</v>
      </c>
      <c r="C25" s="3">
        <v>0.8</v>
      </c>
      <c r="D25" s="3">
        <v>0</v>
      </c>
      <c r="E25" s="3">
        <v>1</v>
      </c>
      <c r="F25" s="3" t="s">
        <v>14</v>
      </c>
      <c r="G25" s="3" t="s">
        <v>76</v>
      </c>
      <c r="H25" s="3" t="s">
        <v>145</v>
      </c>
    </row>
    <row r="26" spans="1:8" x14ac:dyDescent="0.3">
      <c r="A26" s="3" t="s">
        <v>147</v>
      </c>
      <c r="B26" s="3" t="s">
        <v>7</v>
      </c>
      <c r="C26" s="3">
        <v>500</v>
      </c>
      <c r="D26" s="3">
        <v>0</v>
      </c>
      <c r="E26" s="3">
        <v>1000</v>
      </c>
      <c r="F26" s="3" t="s">
        <v>14</v>
      </c>
      <c r="G26" s="3" t="s">
        <v>76</v>
      </c>
      <c r="H26" s="3" t="s">
        <v>148</v>
      </c>
    </row>
    <row r="27" spans="1:8" x14ac:dyDescent="0.3">
      <c r="A27" s="3" t="s">
        <v>146</v>
      </c>
      <c r="B27" s="3" t="s">
        <v>7</v>
      </c>
      <c r="C27" s="6">
        <v>2.5000000000000001E-9</v>
      </c>
      <c r="D27" s="3">
        <v>0</v>
      </c>
      <c r="E27" s="3">
        <v>1</v>
      </c>
      <c r="F27" s="3" t="s">
        <v>14</v>
      </c>
      <c r="G27" s="3" t="s">
        <v>76</v>
      </c>
      <c r="H27" s="3" t="s">
        <v>149</v>
      </c>
    </row>
    <row r="28" spans="1:8" x14ac:dyDescent="0.3">
      <c r="A28" s="3" t="s">
        <v>142</v>
      </c>
      <c r="B28" s="3" t="s">
        <v>7</v>
      </c>
      <c r="C28" s="6">
        <v>1.3E-6</v>
      </c>
      <c r="D28" s="3">
        <v>0</v>
      </c>
      <c r="E28" s="3">
        <v>1</v>
      </c>
      <c r="F28" s="3" t="s">
        <v>14</v>
      </c>
      <c r="G28" s="3" t="s">
        <v>76</v>
      </c>
      <c r="H28" s="3" t="s">
        <v>150</v>
      </c>
    </row>
    <row r="29" spans="1:8" ht="42" x14ac:dyDescent="0.3">
      <c r="A29" s="3" t="s">
        <v>54</v>
      </c>
      <c r="B29" s="3" t="s">
        <v>7</v>
      </c>
      <c r="C29" s="3">
        <v>1</v>
      </c>
      <c r="D29" s="3">
        <v>0</v>
      </c>
      <c r="E29" s="3">
        <v>4</v>
      </c>
      <c r="F29" s="3" t="s">
        <v>14</v>
      </c>
      <c r="G29" s="3" t="s">
        <v>76</v>
      </c>
      <c r="H29" s="3" t="s">
        <v>266</v>
      </c>
    </row>
    <row r="30" spans="1:8" x14ac:dyDescent="0.3">
      <c r="A30" s="3" t="s">
        <v>56</v>
      </c>
      <c r="B30" s="3" t="s">
        <v>7</v>
      </c>
      <c r="C30" s="3">
        <v>2000</v>
      </c>
      <c r="D30" s="3">
        <v>0</v>
      </c>
      <c r="E30" s="3">
        <v>1</v>
      </c>
      <c r="F30" s="3" t="s">
        <v>14</v>
      </c>
      <c r="G30" s="3" t="s">
        <v>76</v>
      </c>
      <c r="H30" s="3" t="s">
        <v>151</v>
      </c>
    </row>
    <row r="31" spans="1:8" x14ac:dyDescent="0.3">
      <c r="A31" s="3" t="s">
        <v>55</v>
      </c>
      <c r="B31" s="3" t="s">
        <v>7</v>
      </c>
      <c r="C31" s="3">
        <v>0</v>
      </c>
      <c r="D31" s="3">
        <v>0</v>
      </c>
      <c r="E31" s="3">
        <v>1</v>
      </c>
      <c r="F31" s="3" t="s">
        <v>14</v>
      </c>
      <c r="G31" s="3" t="s">
        <v>76</v>
      </c>
      <c r="H31" s="3" t="s">
        <v>154</v>
      </c>
    </row>
    <row r="32" spans="1:8" x14ac:dyDescent="0.3">
      <c r="A32" s="3" t="s">
        <v>57</v>
      </c>
      <c r="B32" s="3" t="s">
        <v>7</v>
      </c>
      <c r="C32" s="3">
        <v>0</v>
      </c>
      <c r="D32" s="3">
        <v>0</v>
      </c>
      <c r="E32" s="3">
        <v>1</v>
      </c>
      <c r="F32" s="3" t="s">
        <v>14</v>
      </c>
      <c r="G32" s="3" t="s">
        <v>76</v>
      </c>
      <c r="H32" s="3" t="s">
        <v>155</v>
      </c>
    </row>
    <row r="33" spans="1:8" ht="70" x14ac:dyDescent="0.3">
      <c r="A33" s="3" t="s">
        <v>58</v>
      </c>
      <c r="B33" s="3" t="s">
        <v>7</v>
      </c>
      <c r="C33" s="3">
        <v>1</v>
      </c>
      <c r="D33" s="3">
        <v>0</v>
      </c>
      <c r="E33" s="3">
        <v>3</v>
      </c>
      <c r="F33" s="3" t="s">
        <v>14</v>
      </c>
      <c r="G33" s="3" t="s">
        <v>76</v>
      </c>
      <c r="H33" s="3" t="s">
        <v>254</v>
      </c>
    </row>
    <row r="34" spans="1:8" x14ac:dyDescent="0.3">
      <c r="A34" s="3" t="s">
        <v>59</v>
      </c>
      <c r="B34" s="3" t="s">
        <v>7</v>
      </c>
      <c r="C34" s="6">
        <v>1E-3</v>
      </c>
      <c r="D34" s="3">
        <v>0</v>
      </c>
      <c r="E34" s="3">
        <v>1</v>
      </c>
      <c r="F34" s="3" t="s">
        <v>14</v>
      </c>
      <c r="G34" s="3" t="s">
        <v>76</v>
      </c>
      <c r="H34" s="3" t="s">
        <v>156</v>
      </c>
    </row>
    <row r="35" spans="1:8" x14ac:dyDescent="0.3">
      <c r="A35" s="3" t="s">
        <v>267</v>
      </c>
      <c r="B35" s="3" t="s">
        <v>7</v>
      </c>
      <c r="C35" s="6">
        <v>1E-3</v>
      </c>
      <c r="D35" s="3">
        <v>0</v>
      </c>
      <c r="E35" s="3">
        <v>1</v>
      </c>
      <c r="F35" s="3" t="s">
        <v>14</v>
      </c>
      <c r="G35" s="3" t="s">
        <v>76</v>
      </c>
      <c r="H35" s="3" t="s">
        <v>268</v>
      </c>
    </row>
    <row r="36" spans="1:8" x14ac:dyDescent="0.3">
      <c r="A36" s="3" t="s">
        <v>60</v>
      </c>
      <c r="B36" s="3" t="s">
        <v>7</v>
      </c>
      <c r="C36" s="3">
        <v>0</v>
      </c>
      <c r="D36" s="3">
        <v>0</v>
      </c>
      <c r="E36" s="3">
        <v>1</v>
      </c>
      <c r="F36" s="3" t="s">
        <v>14</v>
      </c>
      <c r="G36" s="3" t="s">
        <v>76</v>
      </c>
      <c r="H36" s="3" t="s">
        <v>157</v>
      </c>
    </row>
    <row r="37" spans="1:8" x14ac:dyDescent="0.3">
      <c r="A37" s="3" t="s">
        <v>269</v>
      </c>
      <c r="B37" s="3" t="s">
        <v>7</v>
      </c>
      <c r="C37" s="3">
        <v>0</v>
      </c>
      <c r="D37" s="3">
        <v>0</v>
      </c>
      <c r="E37" s="3">
        <v>1</v>
      </c>
      <c r="F37" s="3" t="s">
        <v>14</v>
      </c>
      <c r="G37" s="3" t="s">
        <v>76</v>
      </c>
      <c r="H37" s="3" t="s">
        <v>270</v>
      </c>
    </row>
    <row r="38" spans="1:8" x14ac:dyDescent="0.3">
      <c r="A38" s="3" t="s">
        <v>271</v>
      </c>
      <c r="B38" s="3" t="s">
        <v>7</v>
      </c>
      <c r="C38" s="3">
        <v>0</v>
      </c>
      <c r="D38" s="3">
        <v>0</v>
      </c>
      <c r="E38" s="3">
        <v>1</v>
      </c>
      <c r="F38" s="3" t="s">
        <v>14</v>
      </c>
      <c r="G38" s="3" t="s">
        <v>76</v>
      </c>
      <c r="H38" s="3" t="s">
        <v>272</v>
      </c>
    </row>
    <row r="42" spans="1:8" x14ac:dyDescent="0.3">
      <c r="A42" s="7"/>
      <c r="B42" s="7"/>
      <c r="C42" s="7"/>
      <c r="D42" s="7"/>
      <c r="E42" s="7"/>
      <c r="F42" s="7"/>
      <c r="G42" s="7"/>
      <c r="H42" s="7"/>
    </row>
    <row r="43" spans="1:8" x14ac:dyDescent="0.3">
      <c r="C43" s="6"/>
      <c r="E43" s="6"/>
    </row>
    <row r="44" spans="1:8" x14ac:dyDescent="0.3">
      <c r="C44" s="6"/>
      <c r="E44" s="6"/>
    </row>
    <row r="45" spans="1:8" x14ac:dyDescent="0.3">
      <c r="C45" s="6"/>
      <c r="E45" s="6"/>
    </row>
    <row r="46" spans="1:8" x14ac:dyDescent="0.3">
      <c r="C46" s="6"/>
      <c r="E46" s="6"/>
    </row>
    <row r="47" spans="1:8" x14ac:dyDescent="0.3">
      <c r="C47" s="6"/>
      <c r="E47" s="6"/>
    </row>
    <row r="48" spans="1:8" ht="28.5" customHeight="1" x14ac:dyDescent="0.3">
      <c r="C48" s="6"/>
      <c r="D48" s="6"/>
      <c r="E48" s="6"/>
    </row>
    <row r="49" spans="3:5" x14ac:dyDescent="0.3">
      <c r="C49" s="6"/>
      <c r="D49" s="6"/>
      <c r="E49" s="6"/>
    </row>
    <row r="50" spans="3:5" x14ac:dyDescent="0.3">
      <c r="C50" s="6"/>
      <c r="D50" s="6"/>
      <c r="E50" s="6"/>
    </row>
    <row r="51" spans="3:5" x14ac:dyDescent="0.3">
      <c r="C51" s="6"/>
      <c r="D51" s="6"/>
      <c r="E51" s="6"/>
    </row>
    <row r="52" spans="3:5" x14ac:dyDescent="0.3">
      <c r="C52" s="6"/>
      <c r="D52" s="6"/>
      <c r="E52" s="6"/>
    </row>
    <row r="53" spans="3:5" x14ac:dyDescent="0.3">
      <c r="C53" s="6"/>
      <c r="D53" s="6"/>
      <c r="E53" s="6"/>
    </row>
    <row r="54" spans="3:5" x14ac:dyDescent="0.3">
      <c r="C54" s="6"/>
      <c r="D54" s="6"/>
      <c r="E54" s="6"/>
    </row>
    <row r="55" spans="3:5" x14ac:dyDescent="0.3">
      <c r="C55" s="6"/>
      <c r="D55" s="6"/>
      <c r="E55" s="6"/>
    </row>
    <row r="56" spans="3:5" x14ac:dyDescent="0.3">
      <c r="E56" s="6"/>
    </row>
    <row r="57" spans="3:5" x14ac:dyDescent="0.3">
      <c r="E57" s="6"/>
    </row>
    <row r="58" spans="3:5" x14ac:dyDescent="0.3">
      <c r="E58" s="6"/>
    </row>
    <row r="59" spans="3:5" x14ac:dyDescent="0.3">
      <c r="E59" s="6"/>
    </row>
    <row r="60" spans="3:5" x14ac:dyDescent="0.3">
      <c r="E60" s="6"/>
    </row>
    <row r="61" spans="3:5" x14ac:dyDescent="0.3">
      <c r="E61" s="6"/>
    </row>
    <row r="62" spans="3:5" x14ac:dyDescent="0.3">
      <c r="E62" s="6"/>
    </row>
    <row r="63" spans="3:5" x14ac:dyDescent="0.3">
      <c r="E63" s="6"/>
    </row>
    <row r="64" spans="3:5" x14ac:dyDescent="0.3">
      <c r="E64" s="6"/>
    </row>
    <row r="67" spans="3:5" x14ac:dyDescent="0.3">
      <c r="C67" s="6"/>
    </row>
    <row r="68" spans="3:5" x14ac:dyDescent="0.3">
      <c r="E68" s="6"/>
    </row>
    <row r="69" spans="3:5" x14ac:dyDescent="0.3">
      <c r="E69" s="6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31D81-98E2-49F4-9AC8-A86DA594205F}">
  <dimension ref="A1:I34"/>
  <sheetViews>
    <sheetView zoomScaleNormal="100" workbookViewId="0">
      <selection activeCell="M34" sqref="M34"/>
    </sheetView>
  </sheetViews>
  <sheetFormatPr defaultRowHeight="14" x14ac:dyDescent="0.3"/>
  <cols>
    <col min="1" max="1" width="38.83203125" style="4" customWidth="1"/>
    <col min="2" max="2" width="13.75" style="4" customWidth="1"/>
    <col min="3" max="3" width="12.08203125" style="4" customWidth="1"/>
    <col min="4" max="4" width="13.33203125" style="4" customWidth="1"/>
    <col min="5" max="5" width="14" style="4" customWidth="1"/>
    <col min="6" max="6" width="12.08203125" style="4" customWidth="1"/>
    <col min="7" max="7" width="20.08203125" style="4" customWidth="1"/>
    <col min="8" max="8" width="31.25" style="11" customWidth="1"/>
    <col min="9" max="9" width="16.5" style="4" customWidth="1"/>
  </cols>
  <sheetData>
    <row r="1" spans="1:9" x14ac:dyDescent="0.3">
      <c r="A1" s="1" t="s">
        <v>15</v>
      </c>
      <c r="B1" s="1" t="s">
        <v>0</v>
      </c>
      <c r="C1" s="1" t="s">
        <v>1</v>
      </c>
      <c r="D1" s="1" t="s">
        <v>5</v>
      </c>
      <c r="E1" s="1" t="s">
        <v>6</v>
      </c>
      <c r="F1" s="1" t="s">
        <v>2</v>
      </c>
      <c r="G1" s="1" t="s">
        <v>3</v>
      </c>
      <c r="H1" s="8" t="s">
        <v>4</v>
      </c>
      <c r="I1" s="1" t="s">
        <v>13</v>
      </c>
    </row>
    <row r="2" spans="1:9" ht="42" x14ac:dyDescent="0.3">
      <c r="A2" s="4" t="s">
        <v>61</v>
      </c>
      <c r="B2" s="4" t="s">
        <v>7</v>
      </c>
      <c r="C2" s="4">
        <v>1</v>
      </c>
      <c r="D2" s="4">
        <v>0</v>
      </c>
      <c r="E2" s="4">
        <v>1</v>
      </c>
      <c r="F2" s="4" t="s">
        <v>14</v>
      </c>
      <c r="G2" s="4" t="s">
        <v>76</v>
      </c>
      <c r="H2" s="11" t="s">
        <v>256</v>
      </c>
    </row>
    <row r="3" spans="1:9" x14ac:dyDescent="0.3">
      <c r="A3" s="4" t="s">
        <v>127</v>
      </c>
      <c r="B3" s="4" t="s">
        <v>7</v>
      </c>
      <c r="C3" s="4">
        <v>1</v>
      </c>
      <c r="D3" s="4">
        <v>0</v>
      </c>
      <c r="E3" s="4">
        <v>1000</v>
      </c>
      <c r="F3" s="4" t="s">
        <v>14</v>
      </c>
      <c r="G3" s="4" t="s">
        <v>76</v>
      </c>
      <c r="H3" s="11" t="s">
        <v>205</v>
      </c>
    </row>
    <row r="4" spans="1:9" x14ac:dyDescent="0.3">
      <c r="A4" s="4" t="s">
        <v>128</v>
      </c>
      <c r="B4" s="4" t="s">
        <v>7</v>
      </c>
      <c r="C4" s="4">
        <v>0</v>
      </c>
      <c r="D4" s="4">
        <v>0</v>
      </c>
      <c r="E4" s="4">
        <v>1</v>
      </c>
      <c r="F4" s="4" t="s">
        <v>14</v>
      </c>
      <c r="G4" s="4" t="s">
        <v>76</v>
      </c>
      <c r="H4" s="11" t="s">
        <v>206</v>
      </c>
    </row>
    <row r="5" spans="1:9" ht="70" x14ac:dyDescent="0.3">
      <c r="A5" s="4" t="s">
        <v>62</v>
      </c>
      <c r="B5" s="4" t="s">
        <v>7</v>
      </c>
      <c r="C5" s="4">
        <v>1</v>
      </c>
      <c r="D5" s="4">
        <v>0</v>
      </c>
      <c r="E5" s="4">
        <v>1</v>
      </c>
      <c r="F5" s="4" t="s">
        <v>14</v>
      </c>
      <c r="G5" s="4" t="s">
        <v>76</v>
      </c>
      <c r="H5" s="11" t="s">
        <v>255</v>
      </c>
    </row>
    <row r="6" spans="1:9" x14ac:dyDescent="0.3">
      <c r="A6" s="4" t="s">
        <v>200</v>
      </c>
      <c r="B6" s="4" t="s">
        <v>7</v>
      </c>
      <c r="C6" s="4">
        <v>50</v>
      </c>
      <c r="D6" s="4">
        <v>0</v>
      </c>
      <c r="E6" s="4">
        <f>C10/10</f>
        <v>100</v>
      </c>
      <c r="F6" s="4" t="s">
        <v>14</v>
      </c>
      <c r="G6" s="4" t="s">
        <v>76</v>
      </c>
      <c r="H6" s="11" t="s">
        <v>199</v>
      </c>
    </row>
    <row r="7" spans="1:9" ht="42" x14ac:dyDescent="0.3">
      <c r="A7" s="4" t="s">
        <v>63</v>
      </c>
      <c r="B7" s="4" t="s">
        <v>7</v>
      </c>
      <c r="C7" s="4">
        <v>1</v>
      </c>
      <c r="D7" s="4">
        <v>0</v>
      </c>
      <c r="E7" s="4">
        <v>1</v>
      </c>
      <c r="F7" s="4" t="s">
        <v>14</v>
      </c>
      <c r="G7" s="4" t="s">
        <v>76</v>
      </c>
      <c r="H7" s="11" t="s">
        <v>257</v>
      </c>
    </row>
    <row r="8" spans="1:9" x14ac:dyDescent="0.3">
      <c r="A8" s="4" t="s">
        <v>202</v>
      </c>
      <c r="B8" s="4" t="s">
        <v>7</v>
      </c>
      <c r="C8" s="4">
        <v>0</v>
      </c>
      <c r="D8" s="4">
        <v>0</v>
      </c>
      <c r="E8" s="4">
        <v>1</v>
      </c>
      <c r="F8" s="4" t="s">
        <v>14</v>
      </c>
      <c r="G8" s="4" t="s">
        <v>76</v>
      </c>
      <c r="H8" s="11" t="s">
        <v>201</v>
      </c>
    </row>
    <row r="9" spans="1:9" ht="112" x14ac:dyDescent="0.3">
      <c r="A9" s="4" t="s">
        <v>64</v>
      </c>
      <c r="B9" s="4" t="s">
        <v>7</v>
      </c>
      <c r="C9" s="4">
        <v>1</v>
      </c>
      <c r="D9" s="4">
        <v>0</v>
      </c>
      <c r="E9" s="4">
        <v>1</v>
      </c>
      <c r="F9" s="4" t="s">
        <v>14</v>
      </c>
      <c r="G9" s="4" t="s">
        <v>76</v>
      </c>
      <c r="H9" s="11" t="s">
        <v>258</v>
      </c>
    </row>
    <row r="10" spans="1:9" x14ac:dyDescent="0.3">
      <c r="A10" s="4" t="s">
        <v>207</v>
      </c>
      <c r="B10" s="4" t="s">
        <v>7</v>
      </c>
      <c r="C10" s="4">
        <v>1000</v>
      </c>
      <c r="D10" s="4">
        <v>0</v>
      </c>
      <c r="E10" s="4">
        <v>1</v>
      </c>
      <c r="F10" s="4" t="s">
        <v>14</v>
      </c>
      <c r="G10" s="4" t="s">
        <v>76</v>
      </c>
      <c r="H10" s="11" t="s">
        <v>203</v>
      </c>
    </row>
    <row r="11" spans="1:9" x14ac:dyDescent="0.3">
      <c r="A11" s="4" t="s">
        <v>328</v>
      </c>
      <c r="B11" s="4" t="s">
        <v>7</v>
      </c>
      <c r="C11" s="4">
        <v>1</v>
      </c>
      <c r="D11" s="4">
        <v>0</v>
      </c>
      <c r="E11" s="4">
        <v>1</v>
      </c>
      <c r="F11" s="4" t="s">
        <v>14</v>
      </c>
      <c r="G11" s="4" t="s">
        <v>76</v>
      </c>
      <c r="H11" s="11" t="s">
        <v>329</v>
      </c>
    </row>
    <row r="12" spans="1:9" ht="98" x14ac:dyDescent="0.3">
      <c r="A12" s="4" t="s">
        <v>65</v>
      </c>
      <c r="B12" s="4" t="s">
        <v>7</v>
      </c>
      <c r="C12" s="4">
        <v>1</v>
      </c>
      <c r="D12" s="4">
        <v>0</v>
      </c>
      <c r="E12" s="4">
        <v>1</v>
      </c>
      <c r="F12" s="4" t="s">
        <v>14</v>
      </c>
      <c r="G12" s="4" t="s">
        <v>76</v>
      </c>
      <c r="H12" s="11" t="s">
        <v>259</v>
      </c>
    </row>
    <row r="13" spans="1:9" x14ac:dyDescent="0.3">
      <c r="A13" s="4" t="s">
        <v>208</v>
      </c>
      <c r="B13" s="4" t="s">
        <v>7</v>
      </c>
      <c r="C13" s="4">
        <v>1</v>
      </c>
      <c r="D13" s="4">
        <v>0</v>
      </c>
      <c r="E13" s="4">
        <v>1</v>
      </c>
      <c r="F13" s="4" t="s">
        <v>14</v>
      </c>
      <c r="G13" s="4" t="s">
        <v>76</v>
      </c>
      <c r="H13" s="11" t="s">
        <v>212</v>
      </c>
    </row>
    <row r="14" spans="1:9" x14ac:dyDescent="0.3">
      <c r="A14" s="4" t="s">
        <v>209</v>
      </c>
      <c r="B14" s="4" t="s">
        <v>7</v>
      </c>
      <c r="C14" s="4">
        <v>1</v>
      </c>
      <c r="D14" s="4">
        <v>0</v>
      </c>
      <c r="E14" s="4">
        <v>1</v>
      </c>
      <c r="F14" s="4" t="s">
        <v>14</v>
      </c>
      <c r="G14" s="4" t="s">
        <v>76</v>
      </c>
      <c r="H14" s="11" t="s">
        <v>213</v>
      </c>
    </row>
    <row r="15" spans="1:9" x14ac:dyDescent="0.3">
      <c r="A15" s="4" t="s">
        <v>210</v>
      </c>
      <c r="B15" s="4" t="s">
        <v>7</v>
      </c>
      <c r="C15" s="4">
        <v>1</v>
      </c>
      <c r="D15" s="4">
        <v>0</v>
      </c>
      <c r="E15" s="4">
        <v>1</v>
      </c>
      <c r="F15" s="4" t="s">
        <v>14</v>
      </c>
      <c r="G15" s="4" t="s">
        <v>76</v>
      </c>
      <c r="H15" s="11" t="s">
        <v>214</v>
      </c>
    </row>
    <row r="16" spans="1:9" x14ac:dyDescent="0.3">
      <c r="A16" s="4" t="s">
        <v>211</v>
      </c>
      <c r="B16" s="4" t="s">
        <v>7</v>
      </c>
      <c r="C16" s="4">
        <v>1</v>
      </c>
      <c r="D16" s="4">
        <v>0</v>
      </c>
      <c r="E16" s="4">
        <v>1</v>
      </c>
      <c r="F16" s="4" t="s">
        <v>14</v>
      </c>
      <c r="G16" s="4" t="s">
        <v>76</v>
      </c>
      <c r="H16" s="11" t="s">
        <v>215</v>
      </c>
    </row>
    <row r="17" spans="1:8" ht="56" x14ac:dyDescent="0.3">
      <c r="A17" s="4" t="s">
        <v>216</v>
      </c>
      <c r="B17" s="4" t="s">
        <v>7</v>
      </c>
      <c r="C17" s="4">
        <v>1</v>
      </c>
      <c r="D17" s="4">
        <v>0</v>
      </c>
      <c r="E17" s="4">
        <v>2</v>
      </c>
      <c r="F17" s="4" t="s">
        <v>14</v>
      </c>
      <c r="G17" s="4" t="s">
        <v>76</v>
      </c>
      <c r="H17" s="11" t="s">
        <v>260</v>
      </c>
    </row>
    <row r="18" spans="1:8" ht="56" x14ac:dyDescent="0.3">
      <c r="A18" s="4" t="s">
        <v>217</v>
      </c>
      <c r="B18" s="4" t="s">
        <v>7</v>
      </c>
      <c r="C18" s="4">
        <v>1</v>
      </c>
      <c r="D18" s="4">
        <v>0</v>
      </c>
      <c r="E18" s="4">
        <v>2</v>
      </c>
      <c r="F18" s="4" t="s">
        <v>14</v>
      </c>
      <c r="G18" s="4" t="s">
        <v>76</v>
      </c>
      <c r="H18" s="11" t="s">
        <v>261</v>
      </c>
    </row>
    <row r="19" spans="1:8" ht="56" x14ac:dyDescent="0.3">
      <c r="A19" s="4" t="s">
        <v>218</v>
      </c>
      <c r="B19" s="4" t="s">
        <v>7</v>
      </c>
      <c r="C19" s="4">
        <v>1</v>
      </c>
      <c r="D19" s="4">
        <v>0</v>
      </c>
      <c r="E19" s="4">
        <v>2</v>
      </c>
      <c r="F19" s="4" t="s">
        <v>14</v>
      </c>
      <c r="G19" s="4" t="s">
        <v>76</v>
      </c>
      <c r="H19" s="11" t="s">
        <v>221</v>
      </c>
    </row>
    <row r="20" spans="1:8" ht="56" x14ac:dyDescent="0.3">
      <c r="A20" s="4" t="s">
        <v>219</v>
      </c>
      <c r="B20" s="4" t="s">
        <v>7</v>
      </c>
      <c r="C20" s="4">
        <v>1</v>
      </c>
      <c r="D20" s="4">
        <v>0</v>
      </c>
      <c r="E20" s="4">
        <v>1</v>
      </c>
      <c r="F20" s="4" t="s">
        <v>14</v>
      </c>
      <c r="G20" s="4" t="s">
        <v>76</v>
      </c>
      <c r="H20" s="11" t="s">
        <v>262</v>
      </c>
    </row>
    <row r="21" spans="1:8" ht="42" x14ac:dyDescent="0.3">
      <c r="A21" s="4" t="s">
        <v>220</v>
      </c>
      <c r="B21" s="4" t="s">
        <v>7</v>
      </c>
      <c r="C21" s="4">
        <v>1</v>
      </c>
      <c r="D21" s="4">
        <v>0</v>
      </c>
      <c r="E21" s="4">
        <v>1</v>
      </c>
      <c r="F21" s="4" t="s">
        <v>14</v>
      </c>
      <c r="G21" s="4" t="s">
        <v>76</v>
      </c>
      <c r="H21" s="11" t="s">
        <v>263</v>
      </c>
    </row>
    <row r="22" spans="1:8" ht="70" x14ac:dyDescent="0.3">
      <c r="A22" s="4" t="s">
        <v>239</v>
      </c>
      <c r="B22" s="4" t="s">
        <v>7</v>
      </c>
      <c r="C22" s="4">
        <f>硬件相电流采样类型</f>
        <v>1</v>
      </c>
      <c r="D22" s="4">
        <v>0</v>
      </c>
      <c r="E22" s="4">
        <v>3</v>
      </c>
      <c r="F22" s="4" t="s">
        <v>14</v>
      </c>
      <c r="G22" s="4" t="s">
        <v>76</v>
      </c>
      <c r="H22" s="11" t="s">
        <v>264</v>
      </c>
    </row>
    <row r="23" spans="1:8" ht="28" x14ac:dyDescent="0.3">
      <c r="A23" s="4" t="s">
        <v>222</v>
      </c>
      <c r="B23" s="4" t="s">
        <v>7</v>
      </c>
      <c r="C23" s="4">
        <v>1</v>
      </c>
      <c r="D23" s="4">
        <v>0</v>
      </c>
      <c r="E23" s="4">
        <v>1</v>
      </c>
      <c r="F23" s="4" t="s">
        <v>14</v>
      </c>
      <c r="G23" s="4" t="s">
        <v>76</v>
      </c>
      <c r="H23" s="11" t="s">
        <v>223</v>
      </c>
    </row>
    <row r="24" spans="1:8" x14ac:dyDescent="0.3">
      <c r="A24" s="4" t="s">
        <v>224</v>
      </c>
      <c r="B24" s="4" t="s">
        <v>7</v>
      </c>
      <c r="C24" s="4">
        <v>0.98</v>
      </c>
      <c r="D24" s="4">
        <v>0</v>
      </c>
      <c r="E24" s="4">
        <v>1</v>
      </c>
      <c r="F24" s="4" t="s">
        <v>14</v>
      </c>
      <c r="G24" s="4" t="s">
        <v>76</v>
      </c>
      <c r="H24" s="11" t="s">
        <v>225</v>
      </c>
    </row>
    <row r="25" spans="1:8" x14ac:dyDescent="0.3">
      <c r="A25" s="4" t="s">
        <v>226</v>
      </c>
      <c r="B25" s="4" t="s">
        <v>7</v>
      </c>
      <c r="C25" s="4">
        <v>0.2</v>
      </c>
      <c r="D25" s="4">
        <v>0</v>
      </c>
      <c r="E25" s="4">
        <v>1</v>
      </c>
      <c r="F25" s="4" t="s">
        <v>14</v>
      </c>
      <c r="G25" s="4" t="s">
        <v>76</v>
      </c>
      <c r="H25" s="11" t="s">
        <v>227</v>
      </c>
    </row>
    <row r="26" spans="1:8" x14ac:dyDescent="0.3">
      <c r="A26" s="4" t="s">
        <v>228</v>
      </c>
      <c r="B26" s="4" t="s">
        <v>7</v>
      </c>
      <c r="C26" s="4">
        <v>1</v>
      </c>
      <c r="D26" s="4">
        <v>0</v>
      </c>
      <c r="E26" s="4">
        <v>1</v>
      </c>
      <c r="F26" s="4" t="s">
        <v>14</v>
      </c>
      <c r="G26" s="4" t="s">
        <v>76</v>
      </c>
      <c r="H26" s="11" t="s">
        <v>233</v>
      </c>
    </row>
    <row r="27" spans="1:8" x14ac:dyDescent="0.3">
      <c r="A27" s="4" t="s">
        <v>229</v>
      </c>
      <c r="B27" s="4" t="s">
        <v>7</v>
      </c>
      <c r="C27" s="4">
        <v>1</v>
      </c>
      <c r="D27" s="4">
        <v>0</v>
      </c>
      <c r="E27" s="4">
        <v>1</v>
      </c>
      <c r="F27" s="4" t="s">
        <v>14</v>
      </c>
      <c r="G27" s="4" t="s">
        <v>76</v>
      </c>
      <c r="H27" s="11" t="s">
        <v>234</v>
      </c>
    </row>
    <row r="28" spans="1:8" x14ac:dyDescent="0.3">
      <c r="A28" s="4" t="s">
        <v>230</v>
      </c>
      <c r="B28" s="4" t="s">
        <v>7</v>
      </c>
      <c r="C28" s="4">
        <v>1</v>
      </c>
      <c r="D28" s="4">
        <v>0</v>
      </c>
      <c r="E28" s="4">
        <v>1</v>
      </c>
      <c r="F28" s="4" t="s">
        <v>14</v>
      </c>
      <c r="G28" s="4" t="s">
        <v>76</v>
      </c>
      <c r="H28" s="11" t="s">
        <v>235</v>
      </c>
    </row>
    <row r="29" spans="1:8" x14ac:dyDescent="0.3">
      <c r="A29" s="4" t="s">
        <v>231</v>
      </c>
      <c r="B29" s="4" t="s">
        <v>7</v>
      </c>
      <c r="C29" s="4">
        <v>1</v>
      </c>
      <c r="D29" s="4">
        <v>0</v>
      </c>
      <c r="E29" s="4">
        <v>1</v>
      </c>
      <c r="F29" s="4" t="s">
        <v>14</v>
      </c>
      <c r="G29" s="4" t="s">
        <v>76</v>
      </c>
      <c r="H29" s="11" t="s">
        <v>236</v>
      </c>
    </row>
    <row r="30" spans="1:8" x14ac:dyDescent="0.3">
      <c r="A30" s="4" t="s">
        <v>232</v>
      </c>
      <c r="B30" s="4" t="s">
        <v>7</v>
      </c>
      <c r="C30" s="4">
        <v>1</v>
      </c>
      <c r="D30" s="4">
        <v>0</v>
      </c>
      <c r="E30" s="4">
        <v>1</v>
      </c>
      <c r="F30" s="4" t="s">
        <v>14</v>
      </c>
      <c r="G30" s="4" t="s">
        <v>76</v>
      </c>
      <c r="H30" s="11" t="s">
        <v>237</v>
      </c>
    </row>
    <row r="31" spans="1:8" ht="42" x14ac:dyDescent="0.3">
      <c r="A31" s="4" t="s">
        <v>68</v>
      </c>
      <c r="B31" s="4" t="s">
        <v>7</v>
      </c>
      <c r="C31" s="4">
        <v>1</v>
      </c>
      <c r="D31" s="4">
        <v>0</v>
      </c>
      <c r="E31" s="4">
        <v>1</v>
      </c>
      <c r="F31" s="4" t="s">
        <v>14</v>
      </c>
      <c r="G31" s="4" t="s">
        <v>76</v>
      </c>
      <c r="H31" s="11" t="s">
        <v>238</v>
      </c>
    </row>
    <row r="32" spans="1:8" ht="42" x14ac:dyDescent="0.3">
      <c r="A32" s="4" t="s">
        <v>66</v>
      </c>
      <c r="B32" s="4" t="s">
        <v>7</v>
      </c>
      <c r="C32" s="4">
        <v>1</v>
      </c>
      <c r="D32" s="4">
        <v>0</v>
      </c>
      <c r="E32" s="4">
        <v>1</v>
      </c>
      <c r="F32" s="4" t="s">
        <v>14</v>
      </c>
      <c r="G32" s="4" t="s">
        <v>76</v>
      </c>
      <c r="H32" s="11" t="s">
        <v>273</v>
      </c>
    </row>
    <row r="33" spans="1:8" ht="28" x14ac:dyDescent="0.3">
      <c r="A33" s="4" t="s">
        <v>67</v>
      </c>
      <c r="B33" s="4" t="s">
        <v>7</v>
      </c>
      <c r="C33" s="4">
        <v>1</v>
      </c>
      <c r="D33" s="4">
        <v>0</v>
      </c>
      <c r="E33" s="4">
        <v>1</v>
      </c>
      <c r="F33" s="4" t="s">
        <v>14</v>
      </c>
      <c r="G33" s="4" t="s">
        <v>76</v>
      </c>
      <c r="H33" s="11" t="s">
        <v>274</v>
      </c>
    </row>
    <row r="34" spans="1:8" ht="42" x14ac:dyDescent="0.3">
      <c r="A34" s="4" t="s">
        <v>204</v>
      </c>
      <c r="B34" s="4" t="s">
        <v>7</v>
      </c>
      <c r="C34" s="4">
        <v>1</v>
      </c>
      <c r="D34" s="4">
        <v>0</v>
      </c>
      <c r="E34" s="4">
        <v>1</v>
      </c>
      <c r="F34" s="4" t="s">
        <v>14</v>
      </c>
      <c r="G34" s="4" t="s">
        <v>76</v>
      </c>
      <c r="H34" s="11" t="s">
        <v>275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C72D6-0A56-45A8-92ED-038F25DA5357}">
  <dimension ref="A1:S61"/>
  <sheetViews>
    <sheetView workbookViewId="0">
      <selection activeCell="A17" sqref="A17"/>
    </sheetView>
  </sheetViews>
  <sheetFormatPr defaultRowHeight="14" x14ac:dyDescent="0.3"/>
  <cols>
    <col min="1" max="1" width="32.75" style="11" customWidth="1"/>
    <col min="2" max="2" width="14.75" style="11" customWidth="1"/>
    <col min="3" max="3" width="15.5" style="11" customWidth="1"/>
    <col min="4" max="4" width="15.58203125" style="11" customWidth="1"/>
    <col min="5" max="5" width="14.83203125" style="11" customWidth="1"/>
    <col min="6" max="6" width="19.08203125" style="11" customWidth="1"/>
    <col min="7" max="7" width="21.25" style="11" customWidth="1"/>
    <col min="8" max="8" width="15.08203125" style="11" customWidth="1"/>
    <col min="9" max="9" width="13.25" style="11" customWidth="1"/>
  </cols>
  <sheetData>
    <row r="1" spans="1:9" x14ac:dyDescent="0.3">
      <c r="A1" s="8" t="s">
        <v>15</v>
      </c>
      <c r="B1" s="8" t="s">
        <v>0</v>
      </c>
      <c r="C1" s="8" t="s">
        <v>1</v>
      </c>
      <c r="D1" s="8" t="s">
        <v>5</v>
      </c>
      <c r="E1" s="8" t="s">
        <v>6</v>
      </c>
      <c r="F1" s="8" t="s">
        <v>2</v>
      </c>
      <c r="G1" s="8" t="s">
        <v>3</v>
      </c>
      <c r="H1" s="8" t="s">
        <v>4</v>
      </c>
      <c r="I1" s="8" t="s">
        <v>13</v>
      </c>
    </row>
    <row r="2" spans="1:9" ht="28" x14ac:dyDescent="0.3">
      <c r="A2" s="11" t="s">
        <v>280</v>
      </c>
      <c r="B2" s="11" t="s">
        <v>281</v>
      </c>
      <c r="C2" s="11">
        <v>1</v>
      </c>
      <c r="D2" s="11">
        <v>0</v>
      </c>
      <c r="E2" s="11">
        <v>1</v>
      </c>
      <c r="F2" s="11" t="s">
        <v>14</v>
      </c>
      <c r="G2" s="11" t="s">
        <v>76</v>
      </c>
      <c r="H2" s="11" t="s">
        <v>330</v>
      </c>
    </row>
    <row r="3" spans="1:9" ht="28" x14ac:dyDescent="0.3">
      <c r="A3" s="11" t="s">
        <v>279</v>
      </c>
      <c r="B3" s="11" t="s">
        <v>281</v>
      </c>
      <c r="C3" s="11">
        <v>1</v>
      </c>
      <c r="D3" s="11">
        <v>0</v>
      </c>
      <c r="E3" s="11">
        <v>1</v>
      </c>
      <c r="F3" s="11" t="s">
        <v>14</v>
      </c>
      <c r="G3" s="11" t="s">
        <v>76</v>
      </c>
      <c r="H3" s="11" t="s">
        <v>331</v>
      </c>
    </row>
    <row r="4" spans="1:9" ht="28" x14ac:dyDescent="0.3">
      <c r="A4" s="11" t="s">
        <v>278</v>
      </c>
      <c r="B4" s="11" t="s">
        <v>281</v>
      </c>
      <c r="C4" s="11">
        <v>1</v>
      </c>
      <c r="D4" s="11">
        <v>0</v>
      </c>
      <c r="E4" s="11">
        <v>1</v>
      </c>
      <c r="F4" s="11" t="s">
        <v>14</v>
      </c>
      <c r="G4" s="11" t="s">
        <v>76</v>
      </c>
      <c r="H4" s="11" t="s">
        <v>332</v>
      </c>
    </row>
    <row r="5" spans="1:9" ht="28" x14ac:dyDescent="0.3">
      <c r="A5" s="11" t="s">
        <v>277</v>
      </c>
      <c r="B5" s="11" t="s">
        <v>281</v>
      </c>
      <c r="C5" s="11">
        <v>1</v>
      </c>
      <c r="D5" s="11">
        <v>0</v>
      </c>
      <c r="E5" s="11">
        <v>1</v>
      </c>
      <c r="F5" s="11" t="s">
        <v>14</v>
      </c>
      <c r="G5" s="11" t="s">
        <v>76</v>
      </c>
      <c r="H5" s="11" t="s">
        <v>333</v>
      </c>
    </row>
    <row r="6" spans="1:9" ht="28" x14ac:dyDescent="0.3">
      <c r="A6" s="11" t="s">
        <v>276</v>
      </c>
      <c r="B6" s="11" t="s">
        <v>281</v>
      </c>
      <c r="C6" s="11">
        <v>1</v>
      </c>
      <c r="D6" s="11">
        <v>0</v>
      </c>
      <c r="E6" s="11">
        <v>1</v>
      </c>
      <c r="F6" s="11" t="s">
        <v>14</v>
      </c>
      <c r="G6" s="11" t="s">
        <v>76</v>
      </c>
      <c r="H6" s="11" t="s">
        <v>334</v>
      </c>
    </row>
    <row r="7" spans="1:9" ht="28" x14ac:dyDescent="0.3">
      <c r="A7" s="11" t="s">
        <v>286</v>
      </c>
      <c r="B7" s="11" t="s">
        <v>281</v>
      </c>
      <c r="C7" s="11">
        <f>电流环PI控制器带宽*2*PI()*电机定子D轴电感</f>
        <v>0.34557519189487723</v>
      </c>
      <c r="D7" s="11">
        <v>0</v>
      </c>
      <c r="E7" s="11">
        <v>1</v>
      </c>
      <c r="F7" s="11" t="s">
        <v>14</v>
      </c>
      <c r="G7" s="11" t="s">
        <v>76</v>
      </c>
      <c r="H7" s="11" t="s">
        <v>335</v>
      </c>
    </row>
    <row r="8" spans="1:9" ht="28" x14ac:dyDescent="0.3">
      <c r="A8" s="11" t="s">
        <v>287</v>
      </c>
      <c r="B8" s="11" t="s">
        <v>281</v>
      </c>
      <c r="C8" s="11">
        <f>电流环PI控制器带宽*2*PI()*电机定子D轴电阻*仿真高频任务步长</f>
        <v>3.6656495781167392E-2</v>
      </c>
      <c r="D8" s="11">
        <v>0</v>
      </c>
      <c r="E8" s="11">
        <v>1</v>
      </c>
      <c r="F8" s="11" t="s">
        <v>14</v>
      </c>
      <c r="G8" s="11" t="s">
        <v>76</v>
      </c>
      <c r="H8" s="11" t="s">
        <v>336</v>
      </c>
    </row>
    <row r="9" spans="1:9" ht="42" x14ac:dyDescent="0.3">
      <c r="A9" s="11" t="s">
        <v>385</v>
      </c>
      <c r="B9" s="11" t="s">
        <v>281</v>
      </c>
      <c r="C9" s="11">
        <v>1</v>
      </c>
      <c r="D9" s="11">
        <v>0</v>
      </c>
      <c r="E9" s="11">
        <f>硬件直流最大母线电流*0.1</f>
        <v>10</v>
      </c>
      <c r="F9" s="11" t="s">
        <v>14</v>
      </c>
      <c r="G9" s="11" t="s">
        <v>76</v>
      </c>
      <c r="H9" s="11" t="s">
        <v>387</v>
      </c>
    </row>
    <row r="10" spans="1:9" ht="28" x14ac:dyDescent="0.3">
      <c r="A10" s="11" t="s">
        <v>282</v>
      </c>
      <c r="B10" s="11" t="s">
        <v>281</v>
      </c>
      <c r="C10" s="11">
        <v>50</v>
      </c>
      <c r="D10" s="11">
        <v>0</v>
      </c>
      <c r="E10" s="11">
        <f>硬件直流最大电压/(SQRT(3)*3)</f>
        <v>59.876415934699907</v>
      </c>
      <c r="F10" s="11" t="s">
        <v>14</v>
      </c>
      <c r="G10" s="11" t="s">
        <v>76</v>
      </c>
      <c r="H10" s="11" t="s">
        <v>339</v>
      </c>
    </row>
    <row r="11" spans="1:9" ht="28" x14ac:dyDescent="0.3">
      <c r="A11" s="11" t="s">
        <v>283</v>
      </c>
      <c r="B11" s="11" t="s">
        <v>281</v>
      </c>
      <c r="C11" s="11">
        <v>-50</v>
      </c>
      <c r="D11" s="11">
        <f>-硬件直流最大电压/(SQRT(3)*3)</f>
        <v>-59.876415934699907</v>
      </c>
      <c r="E11" s="11">
        <v>0</v>
      </c>
      <c r="F11" s="11" t="s">
        <v>14</v>
      </c>
      <c r="G11" s="11" t="s">
        <v>76</v>
      </c>
      <c r="H11" s="11" t="s">
        <v>340</v>
      </c>
    </row>
    <row r="12" spans="1:9" ht="28" x14ac:dyDescent="0.3">
      <c r="A12" s="11" t="s">
        <v>288</v>
      </c>
      <c r="B12" s="11" t="s">
        <v>281</v>
      </c>
      <c r="C12" s="11">
        <f>电流环PI控制器带宽*2*PI()*电机定子Q轴电感</f>
        <v>0.34557519189487723</v>
      </c>
      <c r="D12" s="11">
        <v>0</v>
      </c>
      <c r="E12" s="11">
        <v>1</v>
      </c>
      <c r="F12" s="11" t="s">
        <v>14</v>
      </c>
      <c r="G12" s="11" t="s">
        <v>76</v>
      </c>
      <c r="H12" s="11" t="s">
        <v>337</v>
      </c>
    </row>
    <row r="13" spans="1:9" ht="28" x14ac:dyDescent="0.3">
      <c r="A13" s="11" t="s">
        <v>289</v>
      </c>
      <c r="B13" s="11" t="s">
        <v>281</v>
      </c>
      <c r="C13" s="11">
        <f>电流环PI控制器带宽*2*PI()*电机定子Q轴电阻*仿真高频任务步长</f>
        <v>3.6656495781167392E-2</v>
      </c>
      <c r="D13" s="11">
        <v>0</v>
      </c>
      <c r="E13" s="11">
        <v>1</v>
      </c>
      <c r="F13" s="11" t="s">
        <v>14</v>
      </c>
      <c r="G13" s="11" t="s">
        <v>76</v>
      </c>
      <c r="H13" s="11" t="s">
        <v>338</v>
      </c>
    </row>
    <row r="14" spans="1:9" ht="42" x14ac:dyDescent="0.3">
      <c r="A14" s="11" t="s">
        <v>386</v>
      </c>
      <c r="B14" s="11" t="s">
        <v>281</v>
      </c>
      <c r="C14" s="11">
        <v>1</v>
      </c>
      <c r="D14" s="11">
        <v>0</v>
      </c>
      <c r="E14" s="11">
        <f>硬件直流最大母线电流*0.1</f>
        <v>10</v>
      </c>
      <c r="F14" s="11" t="s">
        <v>14</v>
      </c>
      <c r="G14" s="11" t="s">
        <v>76</v>
      </c>
      <c r="H14" s="11" t="s">
        <v>388</v>
      </c>
    </row>
    <row r="15" spans="1:9" ht="28" x14ac:dyDescent="0.3">
      <c r="A15" s="11" t="s">
        <v>284</v>
      </c>
      <c r="B15" s="11" t="s">
        <v>281</v>
      </c>
      <c r="C15" s="11">
        <v>100</v>
      </c>
      <c r="D15" s="11">
        <v>0</v>
      </c>
      <c r="E15" s="11">
        <f>Step3硬件参数设定!C3/(SQRT(3))</f>
        <v>179.62924780409975</v>
      </c>
      <c r="F15" s="11" t="s">
        <v>14</v>
      </c>
      <c r="G15" s="11" t="s">
        <v>76</v>
      </c>
      <c r="H15" s="11" t="s">
        <v>341</v>
      </c>
    </row>
    <row r="16" spans="1:9" ht="28" x14ac:dyDescent="0.3">
      <c r="A16" s="11" t="s">
        <v>285</v>
      </c>
      <c r="B16" s="11" t="s">
        <v>281</v>
      </c>
      <c r="C16" s="11">
        <v>-100</v>
      </c>
      <c r="D16" s="11">
        <f>-Step3硬件参数设定!C3/(SQRT(3))</f>
        <v>-179.62924780409975</v>
      </c>
      <c r="E16" s="11">
        <v>0</v>
      </c>
      <c r="F16" s="11" t="s">
        <v>14</v>
      </c>
      <c r="G16" s="11" t="s">
        <v>76</v>
      </c>
      <c r="H16" s="11" t="s">
        <v>342</v>
      </c>
    </row>
    <row r="17" spans="1:8" x14ac:dyDescent="0.3">
      <c r="A17" s="11" t="s">
        <v>389</v>
      </c>
      <c r="B17" s="11" t="s">
        <v>281</v>
      </c>
      <c r="C17" s="11">
        <v>1</v>
      </c>
      <c r="D17" s="11">
        <v>0</v>
      </c>
      <c r="E17" s="11">
        <v>1</v>
      </c>
      <c r="F17" s="11" t="s">
        <v>14</v>
      </c>
      <c r="G17" s="11" t="s">
        <v>76</v>
      </c>
      <c r="H17" s="11" t="s">
        <v>343</v>
      </c>
    </row>
    <row r="18" spans="1:8" x14ac:dyDescent="0.3">
      <c r="A18" s="11" t="s">
        <v>390</v>
      </c>
      <c r="B18" s="11" t="s">
        <v>281</v>
      </c>
      <c r="C18" s="11">
        <v>1</v>
      </c>
      <c r="D18" s="11">
        <v>0</v>
      </c>
      <c r="E18" s="11">
        <v>1</v>
      </c>
      <c r="F18" s="11" t="s">
        <v>14</v>
      </c>
      <c r="G18" s="11" t="s">
        <v>76</v>
      </c>
      <c r="H18" s="11" t="s">
        <v>344</v>
      </c>
    </row>
    <row r="19" spans="1:8" x14ac:dyDescent="0.3">
      <c r="A19" s="11" t="s">
        <v>391</v>
      </c>
      <c r="B19" s="11" t="s">
        <v>281</v>
      </c>
      <c r="C19" s="11">
        <v>1</v>
      </c>
      <c r="D19" s="11">
        <v>0</v>
      </c>
      <c r="E19" s="11">
        <v>1</v>
      </c>
      <c r="F19" s="11" t="s">
        <v>14</v>
      </c>
      <c r="G19" s="11" t="s">
        <v>76</v>
      </c>
      <c r="H19" s="11" t="s">
        <v>345</v>
      </c>
    </row>
    <row r="20" spans="1:8" x14ac:dyDescent="0.3">
      <c r="A20" s="11" t="s">
        <v>290</v>
      </c>
      <c r="B20" s="11" t="s">
        <v>281</v>
      </c>
      <c r="C20" s="11">
        <v>1</v>
      </c>
      <c r="D20" s="11">
        <v>0</v>
      </c>
      <c r="E20" s="11">
        <v>1</v>
      </c>
      <c r="F20" s="11" t="s">
        <v>14</v>
      </c>
      <c r="G20" s="11" t="s">
        <v>76</v>
      </c>
      <c r="H20" s="11" t="s">
        <v>346</v>
      </c>
    </row>
    <row r="21" spans="1:8" x14ac:dyDescent="0.3">
      <c r="A21" s="11" t="s">
        <v>291</v>
      </c>
      <c r="B21" s="11" t="s">
        <v>281</v>
      </c>
      <c r="C21" s="11">
        <v>1</v>
      </c>
      <c r="D21" s="11">
        <v>0</v>
      </c>
      <c r="E21" s="11">
        <v>1</v>
      </c>
      <c r="F21" s="11" t="s">
        <v>14</v>
      </c>
      <c r="G21" s="11" t="s">
        <v>76</v>
      </c>
      <c r="H21" s="11" t="s">
        <v>347</v>
      </c>
    </row>
    <row r="22" spans="1:8" x14ac:dyDescent="0.3">
      <c r="A22" s="11" t="s">
        <v>292</v>
      </c>
      <c r="B22" s="11" t="s">
        <v>281</v>
      </c>
      <c r="C22" s="11">
        <v>1</v>
      </c>
      <c r="D22" s="11">
        <v>0</v>
      </c>
      <c r="E22" s="11">
        <v>1</v>
      </c>
      <c r="F22" s="11" t="s">
        <v>14</v>
      </c>
      <c r="G22" s="11" t="s">
        <v>76</v>
      </c>
      <c r="H22" s="11" t="s">
        <v>348</v>
      </c>
    </row>
    <row r="23" spans="1:8" x14ac:dyDescent="0.3">
      <c r="A23" s="11" t="s">
        <v>293</v>
      </c>
      <c r="B23" s="11" t="s">
        <v>281</v>
      </c>
      <c r="C23" s="11">
        <v>1</v>
      </c>
      <c r="D23" s="11">
        <v>0</v>
      </c>
      <c r="E23" s="11">
        <v>1</v>
      </c>
      <c r="F23" s="11" t="s">
        <v>14</v>
      </c>
      <c r="G23" s="11" t="s">
        <v>76</v>
      </c>
      <c r="H23" s="11" t="s">
        <v>349</v>
      </c>
    </row>
    <row r="24" spans="1:8" x14ac:dyDescent="0.3">
      <c r="A24" s="11" t="s">
        <v>294</v>
      </c>
      <c r="B24" s="11" t="s">
        <v>281</v>
      </c>
      <c r="C24" s="11">
        <v>1</v>
      </c>
      <c r="D24" s="11">
        <v>0</v>
      </c>
      <c r="E24" s="11">
        <v>1</v>
      </c>
      <c r="F24" s="11" t="s">
        <v>14</v>
      </c>
      <c r="G24" s="11" t="s">
        <v>76</v>
      </c>
      <c r="H24" s="11" t="s">
        <v>350</v>
      </c>
    </row>
    <row r="25" spans="1:8" x14ac:dyDescent="0.3">
      <c r="A25" s="11" t="s">
        <v>295</v>
      </c>
      <c r="B25" s="11" t="s">
        <v>281</v>
      </c>
      <c r="C25" s="11">
        <v>1</v>
      </c>
      <c r="D25" s="11">
        <v>0</v>
      </c>
      <c r="E25" s="11">
        <v>1</v>
      </c>
      <c r="F25" s="11" t="s">
        <v>14</v>
      </c>
      <c r="G25" s="11" t="s">
        <v>76</v>
      </c>
      <c r="H25" s="11" t="s">
        <v>351</v>
      </c>
    </row>
    <row r="26" spans="1:8" x14ac:dyDescent="0.3">
      <c r="A26" s="11" t="s">
        <v>296</v>
      </c>
      <c r="B26" s="11" t="s">
        <v>281</v>
      </c>
      <c r="C26" s="11">
        <v>1</v>
      </c>
      <c r="D26" s="11">
        <v>0</v>
      </c>
      <c r="E26" s="11">
        <v>1</v>
      </c>
      <c r="F26" s="11" t="s">
        <v>14</v>
      </c>
      <c r="G26" s="11" t="s">
        <v>76</v>
      </c>
      <c r="H26" s="11" t="s">
        <v>352</v>
      </c>
    </row>
    <row r="27" spans="1:8" x14ac:dyDescent="0.3">
      <c r="A27" s="11" t="s">
        <v>297</v>
      </c>
      <c r="B27" s="11" t="s">
        <v>281</v>
      </c>
      <c r="C27" s="11">
        <v>1</v>
      </c>
      <c r="D27" s="11">
        <v>0</v>
      </c>
      <c r="E27" s="11">
        <v>1</v>
      </c>
      <c r="F27" s="11" t="s">
        <v>14</v>
      </c>
      <c r="G27" s="11" t="s">
        <v>76</v>
      </c>
      <c r="H27" s="11" t="s">
        <v>353</v>
      </c>
    </row>
    <row r="28" spans="1:8" x14ac:dyDescent="0.3">
      <c r="A28" s="11" t="s">
        <v>298</v>
      </c>
      <c r="B28" s="11" t="s">
        <v>281</v>
      </c>
      <c r="C28" s="11">
        <v>1</v>
      </c>
      <c r="D28" s="11">
        <v>0</v>
      </c>
      <c r="E28" s="11">
        <v>1</v>
      </c>
      <c r="F28" s="11" t="s">
        <v>14</v>
      </c>
      <c r="G28" s="11" t="s">
        <v>76</v>
      </c>
      <c r="H28" s="11" t="s">
        <v>354</v>
      </c>
    </row>
    <row r="29" spans="1:8" x14ac:dyDescent="0.3">
      <c r="A29" s="11" t="s">
        <v>299</v>
      </c>
      <c r="B29" s="11" t="s">
        <v>281</v>
      </c>
      <c r="C29" s="11">
        <v>1</v>
      </c>
      <c r="D29" s="11">
        <v>0</v>
      </c>
      <c r="E29" s="11">
        <v>1</v>
      </c>
      <c r="F29" s="11" t="s">
        <v>14</v>
      </c>
      <c r="G29" s="11" t="s">
        <v>76</v>
      </c>
      <c r="H29" s="11" t="s">
        <v>355</v>
      </c>
    </row>
    <row r="30" spans="1:8" x14ac:dyDescent="0.3">
      <c r="A30" s="11" t="s">
        <v>300</v>
      </c>
      <c r="B30" s="11" t="s">
        <v>281</v>
      </c>
      <c r="C30" s="11">
        <v>1</v>
      </c>
      <c r="D30" s="11">
        <v>0</v>
      </c>
      <c r="E30" s="11">
        <v>1</v>
      </c>
      <c r="F30" s="11" t="s">
        <v>14</v>
      </c>
      <c r="G30" s="11" t="s">
        <v>76</v>
      </c>
      <c r="H30" s="11" t="s">
        <v>356</v>
      </c>
    </row>
    <row r="31" spans="1:8" x14ac:dyDescent="0.3">
      <c r="A31" s="11" t="s">
        <v>301</v>
      </c>
      <c r="B31" s="11" t="s">
        <v>281</v>
      </c>
      <c r="C31" s="11">
        <v>1</v>
      </c>
      <c r="D31" s="11">
        <v>0</v>
      </c>
      <c r="E31" s="11">
        <v>1</v>
      </c>
      <c r="F31" s="11" t="s">
        <v>14</v>
      </c>
      <c r="G31" s="11" t="s">
        <v>76</v>
      </c>
      <c r="H31" s="11" t="s">
        <v>357</v>
      </c>
    </row>
    <row r="32" spans="1:8" x14ac:dyDescent="0.3">
      <c r="A32" s="11" t="s">
        <v>302</v>
      </c>
      <c r="B32" s="11" t="s">
        <v>281</v>
      </c>
      <c r="C32" s="11">
        <v>1</v>
      </c>
      <c r="D32" s="11">
        <v>0</v>
      </c>
      <c r="E32" s="11">
        <v>1</v>
      </c>
      <c r="F32" s="11" t="s">
        <v>14</v>
      </c>
      <c r="G32" s="11" t="s">
        <v>76</v>
      </c>
      <c r="H32" s="11" t="s">
        <v>358</v>
      </c>
    </row>
    <row r="33" spans="1:8" x14ac:dyDescent="0.3">
      <c r="A33" s="11" t="s">
        <v>303</v>
      </c>
      <c r="B33" s="11" t="s">
        <v>281</v>
      </c>
      <c r="C33" s="11">
        <v>1</v>
      </c>
      <c r="D33" s="11">
        <v>0</v>
      </c>
      <c r="E33" s="11">
        <v>1</v>
      </c>
      <c r="F33" s="11" t="s">
        <v>14</v>
      </c>
      <c r="G33" s="11" t="s">
        <v>76</v>
      </c>
      <c r="H33" s="11" t="s">
        <v>359</v>
      </c>
    </row>
    <row r="34" spans="1:8" x14ac:dyDescent="0.3">
      <c r="A34" s="11" t="s">
        <v>304</v>
      </c>
      <c r="B34" s="11" t="s">
        <v>281</v>
      </c>
      <c r="C34" s="11">
        <v>1</v>
      </c>
      <c r="D34" s="11">
        <v>0</v>
      </c>
      <c r="E34" s="11">
        <v>1</v>
      </c>
      <c r="F34" s="11" t="s">
        <v>14</v>
      </c>
      <c r="G34" s="11" t="s">
        <v>76</v>
      </c>
      <c r="H34" s="11" t="s">
        <v>360</v>
      </c>
    </row>
    <row r="35" spans="1:8" x14ac:dyDescent="0.3">
      <c r="A35" s="11" t="s">
        <v>305</v>
      </c>
      <c r="B35" s="11" t="s">
        <v>281</v>
      </c>
      <c r="C35" s="11">
        <v>1</v>
      </c>
      <c r="D35" s="11">
        <v>0</v>
      </c>
      <c r="E35" s="11">
        <v>1</v>
      </c>
      <c r="F35" s="11" t="s">
        <v>14</v>
      </c>
      <c r="G35" s="11" t="s">
        <v>76</v>
      </c>
      <c r="H35" s="11" t="s">
        <v>361</v>
      </c>
    </row>
    <row r="36" spans="1:8" x14ac:dyDescent="0.3">
      <c r="A36" s="11" t="s">
        <v>306</v>
      </c>
      <c r="B36" s="11" t="s">
        <v>281</v>
      </c>
      <c r="C36" s="11">
        <v>1</v>
      </c>
      <c r="D36" s="11">
        <v>0</v>
      </c>
      <c r="E36" s="11">
        <v>1</v>
      </c>
      <c r="F36" s="11" t="s">
        <v>14</v>
      </c>
      <c r="G36" s="11" t="s">
        <v>76</v>
      </c>
      <c r="H36" s="11" t="s">
        <v>362</v>
      </c>
    </row>
    <row r="37" spans="1:8" x14ac:dyDescent="0.3">
      <c r="A37" s="11" t="s">
        <v>307</v>
      </c>
      <c r="B37" s="11" t="s">
        <v>281</v>
      </c>
      <c r="C37" s="11">
        <v>1</v>
      </c>
      <c r="D37" s="11">
        <v>0</v>
      </c>
      <c r="E37" s="11">
        <v>1</v>
      </c>
      <c r="F37" s="11" t="s">
        <v>14</v>
      </c>
      <c r="G37" s="11" t="s">
        <v>76</v>
      </c>
      <c r="H37" s="11" t="s">
        <v>363</v>
      </c>
    </row>
    <row r="38" spans="1:8" x14ac:dyDescent="0.3">
      <c r="A38" s="11" t="s">
        <v>308</v>
      </c>
      <c r="B38" s="11" t="s">
        <v>281</v>
      </c>
      <c r="C38" s="11">
        <v>1</v>
      </c>
      <c r="D38" s="11">
        <v>0</v>
      </c>
      <c r="E38" s="11">
        <v>1</v>
      </c>
      <c r="F38" s="11" t="s">
        <v>14</v>
      </c>
      <c r="G38" s="11" t="s">
        <v>76</v>
      </c>
      <c r="H38" s="11" t="s">
        <v>364</v>
      </c>
    </row>
    <row r="39" spans="1:8" x14ac:dyDescent="0.3">
      <c r="A39" s="11" t="s">
        <v>309</v>
      </c>
      <c r="B39" s="11" t="s">
        <v>281</v>
      </c>
      <c r="C39" s="11">
        <v>1</v>
      </c>
      <c r="D39" s="11">
        <v>0</v>
      </c>
      <c r="E39" s="11">
        <v>1</v>
      </c>
      <c r="F39" s="11" t="s">
        <v>14</v>
      </c>
      <c r="G39" s="11" t="s">
        <v>76</v>
      </c>
      <c r="H39" s="11" t="s">
        <v>365</v>
      </c>
    </row>
    <row r="40" spans="1:8" x14ac:dyDescent="0.3">
      <c r="A40" s="11" t="s">
        <v>310</v>
      </c>
      <c r="B40" s="11" t="s">
        <v>281</v>
      </c>
      <c r="C40" s="11">
        <v>1</v>
      </c>
      <c r="D40" s="11">
        <v>0</v>
      </c>
      <c r="E40" s="11">
        <v>1</v>
      </c>
      <c r="F40" s="11" t="s">
        <v>14</v>
      </c>
      <c r="G40" s="11" t="s">
        <v>76</v>
      </c>
      <c r="H40" s="11" t="s">
        <v>366</v>
      </c>
    </row>
    <row r="41" spans="1:8" x14ac:dyDescent="0.3">
      <c r="A41" s="11" t="s">
        <v>311</v>
      </c>
      <c r="B41" s="11" t="s">
        <v>281</v>
      </c>
      <c r="C41" s="11">
        <v>1</v>
      </c>
      <c r="D41" s="11">
        <v>0</v>
      </c>
      <c r="E41" s="11">
        <v>1</v>
      </c>
      <c r="F41" s="11" t="s">
        <v>14</v>
      </c>
      <c r="G41" s="11" t="s">
        <v>76</v>
      </c>
      <c r="H41" s="11" t="s">
        <v>367</v>
      </c>
    </row>
    <row r="42" spans="1:8" x14ac:dyDescent="0.3">
      <c r="A42" s="11" t="s">
        <v>312</v>
      </c>
      <c r="B42" s="11" t="s">
        <v>281</v>
      </c>
      <c r="C42" s="11">
        <v>1</v>
      </c>
      <c r="D42" s="11">
        <v>0</v>
      </c>
      <c r="E42" s="11">
        <v>1</v>
      </c>
      <c r="F42" s="11" t="s">
        <v>14</v>
      </c>
      <c r="G42" s="11" t="s">
        <v>76</v>
      </c>
      <c r="H42" s="11" t="s">
        <v>368</v>
      </c>
    </row>
    <row r="43" spans="1:8" x14ac:dyDescent="0.3">
      <c r="A43" s="11" t="s">
        <v>313</v>
      </c>
      <c r="B43" s="11" t="s">
        <v>281</v>
      </c>
      <c r="C43" s="11">
        <v>1</v>
      </c>
      <c r="D43" s="11">
        <v>0</v>
      </c>
      <c r="E43" s="11">
        <v>1</v>
      </c>
      <c r="F43" s="11" t="s">
        <v>14</v>
      </c>
      <c r="G43" s="11" t="s">
        <v>76</v>
      </c>
      <c r="H43" s="11" t="s">
        <v>369</v>
      </c>
    </row>
    <row r="44" spans="1:8" x14ac:dyDescent="0.3">
      <c r="A44" s="11" t="s">
        <v>314</v>
      </c>
      <c r="B44" s="11" t="s">
        <v>281</v>
      </c>
      <c r="C44" s="11">
        <v>1</v>
      </c>
      <c r="D44" s="11">
        <v>0</v>
      </c>
      <c r="E44" s="11">
        <v>1</v>
      </c>
      <c r="F44" s="11" t="s">
        <v>14</v>
      </c>
      <c r="G44" s="11" t="s">
        <v>76</v>
      </c>
      <c r="H44" s="11" t="s">
        <v>370</v>
      </c>
    </row>
    <row r="45" spans="1:8" x14ac:dyDescent="0.3">
      <c r="A45" s="11" t="s">
        <v>315</v>
      </c>
      <c r="B45" s="11" t="s">
        <v>281</v>
      </c>
      <c r="C45" s="11">
        <v>1</v>
      </c>
      <c r="D45" s="11">
        <v>0</v>
      </c>
      <c r="E45" s="11">
        <v>1</v>
      </c>
      <c r="F45" s="11" t="s">
        <v>14</v>
      </c>
      <c r="G45" s="11" t="s">
        <v>76</v>
      </c>
      <c r="H45" s="11" t="s">
        <v>371</v>
      </c>
    </row>
    <row r="46" spans="1:8" x14ac:dyDescent="0.3">
      <c r="A46" s="11" t="s">
        <v>316</v>
      </c>
      <c r="B46" s="11" t="s">
        <v>281</v>
      </c>
      <c r="C46" s="11">
        <v>1</v>
      </c>
      <c r="D46" s="11">
        <v>0</v>
      </c>
      <c r="E46" s="11">
        <v>1</v>
      </c>
      <c r="F46" s="11" t="s">
        <v>14</v>
      </c>
      <c r="G46" s="11" t="s">
        <v>76</v>
      </c>
      <c r="H46" s="11" t="s">
        <v>372</v>
      </c>
    </row>
    <row r="47" spans="1:8" x14ac:dyDescent="0.3">
      <c r="A47" s="11" t="s">
        <v>317</v>
      </c>
      <c r="B47" s="11" t="s">
        <v>281</v>
      </c>
      <c r="C47" s="11">
        <v>1</v>
      </c>
      <c r="D47" s="11">
        <v>0</v>
      </c>
      <c r="E47" s="11">
        <v>1</v>
      </c>
      <c r="F47" s="11" t="s">
        <v>14</v>
      </c>
      <c r="G47" s="11" t="s">
        <v>76</v>
      </c>
      <c r="H47" s="11" t="s">
        <v>373</v>
      </c>
    </row>
    <row r="48" spans="1:8" x14ac:dyDescent="0.3">
      <c r="A48" s="11" t="s">
        <v>318</v>
      </c>
      <c r="B48" s="11" t="s">
        <v>281</v>
      </c>
      <c r="C48" s="11">
        <v>1</v>
      </c>
      <c r="D48" s="11">
        <v>0</v>
      </c>
      <c r="E48" s="11">
        <v>1</v>
      </c>
      <c r="F48" s="11" t="s">
        <v>14</v>
      </c>
      <c r="G48" s="11" t="s">
        <v>76</v>
      </c>
      <c r="H48" s="11" t="s">
        <v>374</v>
      </c>
    </row>
    <row r="49" spans="1:19" x14ac:dyDescent="0.3">
      <c r="A49" s="11" t="s">
        <v>319</v>
      </c>
      <c r="B49" s="11" t="s">
        <v>281</v>
      </c>
      <c r="C49" s="11">
        <v>1</v>
      </c>
      <c r="D49" s="11">
        <v>0</v>
      </c>
      <c r="E49" s="11">
        <v>1</v>
      </c>
      <c r="F49" s="11" t="s">
        <v>14</v>
      </c>
      <c r="G49" s="11" t="s">
        <v>76</v>
      </c>
      <c r="H49" s="11" t="s">
        <v>375</v>
      </c>
    </row>
    <row r="50" spans="1:19" x14ac:dyDescent="0.3">
      <c r="A50" s="11" t="s">
        <v>320</v>
      </c>
      <c r="B50" s="11" t="s">
        <v>281</v>
      </c>
      <c r="C50" s="11">
        <v>1</v>
      </c>
      <c r="D50" s="11">
        <v>0</v>
      </c>
      <c r="E50" s="11">
        <v>1</v>
      </c>
      <c r="F50" s="11" t="s">
        <v>14</v>
      </c>
      <c r="G50" s="11" t="s">
        <v>76</v>
      </c>
      <c r="H50" s="11" t="s">
        <v>376</v>
      </c>
      <c r="I50" s="3"/>
      <c r="J50" s="5"/>
      <c r="K50" s="5"/>
      <c r="L50" s="5"/>
      <c r="M50" s="5"/>
      <c r="N50" s="5"/>
      <c r="O50" s="5"/>
      <c r="P50" s="5"/>
      <c r="Q50" s="5"/>
      <c r="R50" s="5"/>
      <c r="S50" s="5"/>
    </row>
    <row r="51" spans="1:19" x14ac:dyDescent="0.3">
      <c r="A51" s="11" t="s">
        <v>321</v>
      </c>
      <c r="B51" s="11" t="s">
        <v>281</v>
      </c>
      <c r="C51" s="11">
        <v>1</v>
      </c>
      <c r="D51" s="11">
        <v>0</v>
      </c>
      <c r="E51" s="11">
        <v>1</v>
      </c>
      <c r="F51" s="11" t="s">
        <v>14</v>
      </c>
      <c r="G51" s="11" t="s">
        <v>76</v>
      </c>
      <c r="H51" s="11" t="s">
        <v>377</v>
      </c>
      <c r="I51" s="3"/>
      <c r="J51" s="5"/>
      <c r="K51" s="5"/>
      <c r="L51" s="5"/>
      <c r="M51" s="5"/>
      <c r="N51" s="5"/>
      <c r="O51" s="5"/>
      <c r="P51" s="5"/>
      <c r="Q51" s="5"/>
      <c r="R51" s="5"/>
      <c r="S51" s="5"/>
    </row>
    <row r="52" spans="1:19" x14ac:dyDescent="0.3">
      <c r="A52" s="11" t="s">
        <v>322</v>
      </c>
      <c r="B52" s="11" t="s">
        <v>281</v>
      </c>
      <c r="C52" s="11">
        <v>1</v>
      </c>
      <c r="D52" s="11">
        <v>0</v>
      </c>
      <c r="E52" s="11">
        <v>1</v>
      </c>
      <c r="F52" s="11" t="s">
        <v>14</v>
      </c>
      <c r="G52" s="11" t="s">
        <v>76</v>
      </c>
      <c r="H52" s="11" t="s">
        <v>378</v>
      </c>
      <c r="I52" s="3"/>
      <c r="J52" s="5"/>
      <c r="K52" s="5"/>
      <c r="L52" s="5"/>
      <c r="M52" s="5"/>
      <c r="N52" s="5"/>
      <c r="O52" s="5"/>
      <c r="P52" s="5"/>
      <c r="Q52" s="5"/>
      <c r="R52" s="5"/>
      <c r="S52" s="5"/>
    </row>
    <row r="53" spans="1:19" x14ac:dyDescent="0.3">
      <c r="A53" s="11" t="s">
        <v>323</v>
      </c>
      <c r="B53" s="11" t="s">
        <v>281</v>
      </c>
      <c r="C53" s="11">
        <v>1</v>
      </c>
      <c r="D53" s="11">
        <v>0</v>
      </c>
      <c r="E53" s="11">
        <v>1</v>
      </c>
      <c r="F53" s="11" t="s">
        <v>14</v>
      </c>
      <c r="G53" s="11" t="s">
        <v>76</v>
      </c>
      <c r="H53" s="11" t="s">
        <v>379</v>
      </c>
      <c r="I53" s="3"/>
      <c r="J53" s="5"/>
      <c r="K53" s="5"/>
      <c r="L53" s="5"/>
      <c r="M53" s="5"/>
      <c r="N53" s="5"/>
      <c r="O53" s="5"/>
      <c r="P53" s="5"/>
      <c r="Q53" s="5"/>
      <c r="R53" s="5"/>
      <c r="S53" s="5"/>
    </row>
    <row r="54" spans="1:19" x14ac:dyDescent="0.3">
      <c r="A54" s="11" t="s">
        <v>324</v>
      </c>
      <c r="B54" s="11" t="s">
        <v>281</v>
      </c>
      <c r="C54" s="11">
        <v>1</v>
      </c>
      <c r="D54" s="11">
        <v>0</v>
      </c>
      <c r="E54" s="11">
        <v>1</v>
      </c>
      <c r="F54" s="11" t="s">
        <v>14</v>
      </c>
      <c r="G54" s="11" t="s">
        <v>76</v>
      </c>
      <c r="H54" s="11" t="s">
        <v>380</v>
      </c>
      <c r="I54" s="3"/>
      <c r="J54" s="5"/>
      <c r="K54" s="5"/>
      <c r="L54" s="5"/>
      <c r="M54" s="5"/>
      <c r="N54" s="5"/>
      <c r="O54" s="5"/>
      <c r="P54" s="5"/>
      <c r="Q54" s="5"/>
      <c r="R54" s="5"/>
      <c r="S54" s="5"/>
    </row>
    <row r="55" spans="1:19" x14ac:dyDescent="0.3">
      <c r="A55" s="11" t="s">
        <v>325</v>
      </c>
      <c r="B55" s="11" t="s">
        <v>281</v>
      </c>
      <c r="C55" s="11">
        <v>1</v>
      </c>
      <c r="D55" s="11">
        <v>0</v>
      </c>
      <c r="E55" s="11">
        <v>1</v>
      </c>
      <c r="F55" s="11" t="s">
        <v>14</v>
      </c>
      <c r="G55" s="11" t="s">
        <v>76</v>
      </c>
      <c r="H55" s="11" t="s">
        <v>381</v>
      </c>
      <c r="I55" s="3"/>
      <c r="J55" s="5"/>
      <c r="K55" s="5"/>
      <c r="L55" s="5"/>
      <c r="M55" s="5"/>
      <c r="N55" s="5"/>
      <c r="O55" s="5"/>
      <c r="P55" s="5"/>
      <c r="Q55" s="5"/>
      <c r="R55" s="5"/>
      <c r="S55" s="5"/>
    </row>
    <row r="56" spans="1:19" x14ac:dyDescent="0.3">
      <c r="A56" s="11" t="s">
        <v>326</v>
      </c>
      <c r="B56" s="11" t="s">
        <v>281</v>
      </c>
      <c r="C56" s="11">
        <v>1</v>
      </c>
      <c r="D56" s="11">
        <v>0</v>
      </c>
      <c r="E56" s="11">
        <v>1</v>
      </c>
      <c r="F56" s="11" t="s">
        <v>14</v>
      </c>
      <c r="G56" s="11" t="s">
        <v>76</v>
      </c>
      <c r="H56" s="11" t="s">
        <v>382</v>
      </c>
      <c r="I56" s="3"/>
      <c r="J56" s="5"/>
      <c r="K56" s="5"/>
      <c r="L56" s="5"/>
      <c r="M56" s="5"/>
      <c r="N56" s="5"/>
      <c r="O56" s="5"/>
      <c r="P56" s="5"/>
      <c r="Q56" s="5"/>
      <c r="R56" s="5"/>
      <c r="S56" s="5"/>
    </row>
    <row r="57" spans="1:19" x14ac:dyDescent="0.3">
      <c r="A57" s="11" t="s">
        <v>327</v>
      </c>
      <c r="B57" s="11" t="s">
        <v>281</v>
      </c>
      <c r="C57" s="11">
        <v>1</v>
      </c>
      <c r="D57" s="11">
        <v>0</v>
      </c>
      <c r="E57" s="11">
        <v>1</v>
      </c>
      <c r="F57" s="11" t="s">
        <v>14</v>
      </c>
      <c r="G57" s="11" t="s">
        <v>76</v>
      </c>
      <c r="H57" s="11" t="s">
        <v>383</v>
      </c>
      <c r="I57" s="3"/>
      <c r="J57" s="2"/>
      <c r="K57" s="2"/>
      <c r="L57" s="2"/>
      <c r="M57" s="2"/>
      <c r="N57" s="2"/>
      <c r="O57" s="2"/>
      <c r="P57" s="2"/>
      <c r="Q57" s="2"/>
      <c r="R57" s="2"/>
      <c r="S57" s="5"/>
    </row>
    <row r="58" spans="1:19" x14ac:dyDescent="0.3">
      <c r="I58" s="3"/>
      <c r="J58" s="5"/>
      <c r="K58" s="5"/>
      <c r="L58" s="5"/>
      <c r="M58" s="5"/>
      <c r="N58" s="5"/>
      <c r="O58" s="5"/>
      <c r="P58" s="5"/>
      <c r="Q58" s="5"/>
      <c r="R58" s="5"/>
      <c r="S58" s="5"/>
    </row>
    <row r="59" spans="1:19" x14ac:dyDescent="0.3">
      <c r="I59" s="3"/>
      <c r="J59" s="5"/>
      <c r="K59" s="5"/>
      <c r="L59" s="5"/>
      <c r="M59" s="5"/>
      <c r="N59" s="5"/>
      <c r="O59" s="5"/>
      <c r="P59" s="5"/>
      <c r="Q59" s="5"/>
      <c r="R59" s="5"/>
      <c r="S59" s="5"/>
    </row>
    <row r="60" spans="1:19" x14ac:dyDescent="0.3">
      <c r="I60" s="3"/>
      <c r="J60" s="5"/>
      <c r="K60" s="5"/>
      <c r="L60" s="5"/>
      <c r="M60" s="5"/>
      <c r="N60" s="5"/>
      <c r="O60" s="5"/>
      <c r="P60" s="5"/>
      <c r="Q60" s="5"/>
      <c r="R60" s="5"/>
      <c r="S60" s="5"/>
    </row>
    <row r="61" spans="1:19" x14ac:dyDescent="0.3">
      <c r="I61" s="3"/>
      <c r="J61" s="5"/>
      <c r="K61" s="5"/>
      <c r="L61" s="5"/>
      <c r="M61" s="5"/>
      <c r="N61" s="5"/>
      <c r="O61" s="5"/>
      <c r="P61" s="5"/>
      <c r="Q61" s="5"/>
      <c r="R61" s="5"/>
      <c r="S61" s="5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48BE3-0EDC-42AA-99F1-62146EFD4438}">
  <dimension ref="A1"/>
  <sheetViews>
    <sheetView workbookViewId="0">
      <selection activeCell="I30" sqref="I30"/>
    </sheetView>
  </sheetViews>
  <sheetFormatPr defaultRowHeight="14" x14ac:dyDescent="0.3"/>
  <sheetData/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FE257-86CA-4E4F-B96A-B773A9C75386}">
  <dimension ref="A1"/>
  <sheetViews>
    <sheetView topLeftCell="A12" workbookViewId="0">
      <selection activeCell="G57" sqref="G57"/>
    </sheetView>
  </sheetViews>
  <sheetFormatPr defaultRowHeight="14" x14ac:dyDescent="0.3"/>
  <sheetData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CA6EF-C892-4953-9AA1-6C3A6FC1CD7C}">
  <dimension ref="A1"/>
  <sheetViews>
    <sheetView topLeftCell="A22" workbookViewId="0">
      <selection activeCell="H69" sqref="H69"/>
    </sheetView>
  </sheetViews>
  <sheetFormatPr defaultRowHeight="14" x14ac:dyDescent="0.3"/>
  <sheetData/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0C76E-B525-4F40-A927-C086587E801E}">
  <dimension ref="A1"/>
  <sheetViews>
    <sheetView workbookViewId="0"/>
  </sheetViews>
  <sheetFormatPr defaultRowHeight="14" x14ac:dyDescent="0.3"/>
  <sheetData/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1D94-76AE-4238-9078-F14E60A75B59}">
  <dimension ref="A1"/>
  <sheetViews>
    <sheetView workbookViewId="0">
      <selection activeCell="L31" sqref="L31"/>
    </sheetView>
  </sheetViews>
  <sheetFormatPr defaultRowHeight="14" x14ac:dyDescent="0.3"/>
  <sheetData/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B1966-733C-48B1-8C90-2A319E1AB71A}">
  <dimension ref="A1"/>
  <sheetViews>
    <sheetView workbookViewId="0">
      <selection activeCell="M28" sqref="M28"/>
    </sheetView>
  </sheetViews>
  <sheetFormatPr defaultRowHeight="14" x14ac:dyDescent="0.3"/>
  <sheetData/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5922E-79BD-490B-A3F1-F5E300E96BD5}">
  <dimension ref="A1"/>
  <sheetViews>
    <sheetView workbookViewId="0">
      <selection activeCell="G20" sqref="G20"/>
    </sheetView>
  </sheetViews>
  <sheetFormatPr defaultRowHeight="14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命名范围</vt:lpstr>
      </vt:variant>
      <vt:variant>
        <vt:i4>59</vt:i4>
      </vt:variant>
    </vt:vector>
  </HeadingPairs>
  <TitlesOfParts>
    <vt:vector size="72" baseType="lpstr">
      <vt:lpstr>Step0标幺定点化基准值</vt:lpstr>
      <vt:lpstr>Step1仿真参数设定</vt:lpstr>
      <vt:lpstr>Step2电机参数设定</vt:lpstr>
      <vt:lpstr>Step3硬件参数设定</vt:lpstr>
      <vt:lpstr>Step4控制参数设定</vt:lpstr>
      <vt:lpstr>Step5模型控制参数</vt:lpstr>
      <vt:lpstr>Step6定点化模型控制参数</vt:lpstr>
      <vt:lpstr>Step7枚举变量</vt:lpstr>
      <vt:lpstr>Step8查找表数据</vt:lpstr>
      <vt:lpstr>Step9总线信号</vt:lpstr>
      <vt:lpstr>Step10调试观察变量</vt:lpstr>
      <vt:lpstr>Step11调试配置</vt:lpstr>
      <vt:lpstr>Step12查找表数据</vt:lpstr>
      <vt:lpstr>电机定子AB轴互感</vt:lpstr>
      <vt:lpstr>电机定子A相电感</vt:lpstr>
      <vt:lpstr>电机定子A相电阻</vt:lpstr>
      <vt:lpstr>电机定子A轴电感</vt:lpstr>
      <vt:lpstr>电机定子A轴电阻</vt:lpstr>
      <vt:lpstr>电机定子B相电感</vt:lpstr>
      <vt:lpstr>电机定子B相电阻</vt:lpstr>
      <vt:lpstr>电机定子B轴电感</vt:lpstr>
      <vt:lpstr>电机定子B轴电阻</vt:lpstr>
      <vt:lpstr>电机定子C相电感</vt:lpstr>
      <vt:lpstr>电机定子C相电阻</vt:lpstr>
      <vt:lpstr>电机定子D轴电感</vt:lpstr>
      <vt:lpstr>电机定子D轴电阻</vt:lpstr>
      <vt:lpstr>电机定子Q轴电感</vt:lpstr>
      <vt:lpstr>电机定子Q轴电阻</vt:lpstr>
      <vt:lpstr>电机定子均值电阻</vt:lpstr>
      <vt:lpstr>电机定子三相均值电感</vt:lpstr>
      <vt:lpstr>电机定子线电感</vt:lpstr>
      <vt:lpstr>电机定子线电阻</vt:lpstr>
      <vt:lpstr>电机额定转速</vt:lpstr>
      <vt:lpstr>电机反电势常数</vt:lpstr>
      <vt:lpstr>电机极对数</vt:lpstr>
      <vt:lpstr>电机静摩擦转矩</vt:lpstr>
      <vt:lpstr>电机零序电感</vt:lpstr>
      <vt:lpstr>电机绕组类型</vt:lpstr>
      <vt:lpstr>电机转动惯量</vt:lpstr>
      <vt:lpstr>电机转动阻力系数</vt:lpstr>
      <vt:lpstr>电机转动阻尼</vt:lpstr>
      <vt:lpstr>电机转矩常数</vt:lpstr>
      <vt:lpstr>电机转子磁链</vt:lpstr>
      <vt:lpstr>电机转子极对数</vt:lpstr>
      <vt:lpstr>电机最大输入功率</vt:lpstr>
      <vt:lpstr>电机最大转速</vt:lpstr>
      <vt:lpstr>电流环PI控制器带宽</vt:lpstr>
      <vt:lpstr>电流环算法类型</vt:lpstr>
      <vt:lpstr>仿真高频任务步长</vt:lpstr>
      <vt:lpstr>仿真高频任务时钟</vt:lpstr>
      <vt:lpstr>仿真基础步长</vt:lpstr>
      <vt:lpstr>仿真基础时钟</vt:lpstr>
      <vt:lpstr>仿真中频任务步长</vt:lpstr>
      <vt:lpstr>仿真中频任务时钟</vt:lpstr>
      <vt:lpstr>位置环控制参数</vt:lpstr>
      <vt:lpstr>位置环算法类型</vt:lpstr>
      <vt:lpstr>位置环误差阈值</vt:lpstr>
      <vt:lpstr>硬件ADC保持周期</vt:lpstr>
      <vt:lpstr>硬件ADC采样周期</vt:lpstr>
      <vt:lpstr>硬件ADC偏置电压</vt:lpstr>
      <vt:lpstr>硬件ADC时钟</vt:lpstr>
      <vt:lpstr>硬件ADC位数</vt:lpstr>
      <vt:lpstr>硬件ADC转换周期</vt:lpstr>
      <vt:lpstr>硬件ADC最大电压</vt:lpstr>
      <vt:lpstr>硬件CSA增益</vt:lpstr>
      <vt:lpstr>硬件IGBT死区时间</vt:lpstr>
      <vt:lpstr>硬件相电流采样类型</vt:lpstr>
      <vt:lpstr>硬件直流最大电压</vt:lpstr>
      <vt:lpstr>硬件直流最大母线电流</vt:lpstr>
      <vt:lpstr>转速环PI控制积分分离阈值</vt:lpstr>
      <vt:lpstr>转速环PI控制器带宽</vt:lpstr>
      <vt:lpstr>转速环算法类型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YXuan</dc:creator>
  <cp:lastModifiedBy>晅 杨</cp:lastModifiedBy>
  <dcterms:created xsi:type="dcterms:W3CDTF">2015-06-05T18:19:34Z</dcterms:created>
  <dcterms:modified xsi:type="dcterms:W3CDTF">2026-05-25T13:47:24Z</dcterms:modified>
</cp:coreProperties>
</file>