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Projects\MotorControlSim\MotorControllSimulation\BLDC_FOC\"/>
    </mc:Choice>
  </mc:AlternateContent>
  <xr:revisionPtr revIDLastSave="0" documentId="13_ncr:1_{B736A542-F301-4F11-8C9F-9DF7D7B45D9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Input" sheetId="1" r:id="rId1"/>
    <sheet name="Simulink" sheetId="3" r:id="rId2"/>
    <sheet name="Parameter" sheetId="4" r:id="rId3"/>
    <sheet name="CodeGenerate" sheetId="5" r:id="rId4"/>
    <sheet name="标幺化" sheetId="6" r:id="rId5"/>
    <sheet name="定点化" sheetId="7" r:id="rId6"/>
    <sheet name="数据转化对照" sheetId="9" r:id="rId7"/>
  </sheets>
  <definedNames>
    <definedName name="RadtoRPM">Parameter!$C$3</definedName>
    <definedName name="RPMtoRad">Parameter!$C$2</definedName>
    <definedName name="磁链观测器锁相环带宽">Parameter!$C$52</definedName>
    <definedName name="电机定子D轴电感">Input!$C$17</definedName>
    <definedName name="电机定子Q轴电感">Input!$C$18</definedName>
    <definedName name="电机定子相电阻">Input!$C$23</definedName>
    <definedName name="电机额定电压">Input!$C$2</definedName>
    <definedName name="电机反电势系数">Input!$C$10</definedName>
    <definedName name="电机转动惯量">Input!$C$12</definedName>
    <definedName name="电机转子磁链">Input!$C$11</definedName>
    <definedName name="电机转子极对数">Input!$C$16</definedName>
    <definedName name="电流环带宽">Parameter!$C$16</definedName>
    <definedName name="仿真基础步长">Simulink!$C$2</definedName>
    <definedName name="高频任务步长">Simulink!$C$3</definedName>
    <definedName name="滑膜观测器锁相环带宽">Parameter!$C$49</definedName>
    <definedName name="龙贝格观测器锁相环带宽">Parameter!$C$55</definedName>
    <definedName name="死区时间">Input!$C$27</definedName>
    <definedName name="中频任务步长">Simulink!$C$4</definedName>
    <definedName name="转速环Ki">Parameter!$C$15</definedName>
    <definedName name="转速环Kp">Parameter!$C$10</definedName>
    <definedName name="转速环带宽">Parameter!$C$7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4" l="1"/>
  <c r="C31" i="4"/>
  <c r="E30" i="4"/>
  <c r="C30" i="4"/>
  <c r="C29" i="4"/>
  <c r="C4" i="3"/>
  <c r="C3" i="3"/>
  <c r="C2" i="3"/>
  <c r="C37" i="4"/>
  <c r="C38" i="4"/>
  <c r="J45" i="4"/>
  <c r="C45" i="4"/>
  <c r="C46" i="4"/>
  <c r="C41" i="4"/>
  <c r="C42" i="4"/>
  <c r="C56" i="4"/>
  <c r="C8" i="4"/>
  <c r="L21" i="1"/>
  <c r="C50" i="4"/>
  <c r="C53" i="4"/>
  <c r="C44" i="4"/>
  <c r="C43" i="4"/>
  <c r="C40" i="4"/>
  <c r="C39" i="4"/>
  <c r="C22" i="1"/>
  <c r="C21" i="1"/>
  <c r="C20" i="1"/>
  <c r="C5" i="4"/>
  <c r="E30" i="1"/>
  <c r="C36" i="1"/>
  <c r="E12" i="4"/>
  <c r="D12" i="4" s="1"/>
  <c r="E13" i="4"/>
  <c r="D13" i="4" s="1"/>
  <c r="E14" i="4"/>
  <c r="D14" i="4" s="1"/>
  <c r="E15" i="4"/>
  <c r="D15" i="4" s="1"/>
  <c r="C2" i="4"/>
  <c r="C3" i="4"/>
  <c r="C11" i="1"/>
  <c r="C10" i="4" s="1"/>
  <c r="C28" i="4"/>
  <c r="C27" i="4"/>
  <c r="C26" i="4"/>
  <c r="C24" i="4"/>
  <c r="C23" i="4"/>
  <c r="C22" i="4"/>
  <c r="C21" i="4"/>
  <c r="C17" i="4" a="1"/>
  <c r="C17" i="4" s="1"/>
  <c r="C51" i="4" l="1"/>
  <c r="C9" i="4"/>
  <c r="C18" i="4"/>
  <c r="C4" i="4"/>
  <c r="C32" i="4"/>
  <c r="C54" i="4"/>
  <c r="C11" i="4"/>
  <c r="C60" i="4"/>
  <c r="C57" i="4"/>
  <c r="C3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<sst xmlns="http://schemas.openxmlformats.org/spreadsheetml/2006/main" count="495" uniqueCount="239">
  <si>
    <t>SignalName</t>
    <phoneticPr fontId="1" type="noConversion"/>
  </si>
  <si>
    <t>DataType</t>
    <phoneticPr fontId="1" type="noConversion"/>
  </si>
  <si>
    <t>Dimensions</t>
    <phoneticPr fontId="1" type="noConversion"/>
  </si>
  <si>
    <t>DataValue</t>
    <phoneticPr fontId="1" type="noConversion"/>
  </si>
  <si>
    <t>StorageClass</t>
    <phoneticPr fontId="1" type="noConversion"/>
  </si>
  <si>
    <t>CustomStorageClass</t>
    <phoneticPr fontId="1" type="noConversion"/>
  </si>
  <si>
    <t>HeaderFile</t>
    <phoneticPr fontId="1" type="noConversion"/>
  </si>
  <si>
    <t>Description</t>
    <phoneticPr fontId="1" type="noConversion"/>
  </si>
  <si>
    <t>DataValueMin</t>
    <phoneticPr fontId="1" type="noConversion"/>
  </si>
  <si>
    <t>DataValueMax</t>
    <phoneticPr fontId="1" type="noConversion"/>
  </si>
  <si>
    <t>double</t>
    <phoneticPr fontId="1" type="noConversion"/>
  </si>
  <si>
    <t>MC_Input_Vdc</t>
    <phoneticPr fontId="1" type="noConversion"/>
  </si>
  <si>
    <t>电机工作电压</t>
    <phoneticPr fontId="1" type="noConversion"/>
  </si>
  <si>
    <t>MC_Input_Ibus</t>
    <phoneticPr fontId="1" type="noConversion"/>
  </si>
  <si>
    <t>电机最大电流</t>
    <phoneticPr fontId="1" type="noConversion"/>
  </si>
  <si>
    <t>MC_Input_Power</t>
    <phoneticPr fontId="1" type="noConversion"/>
  </si>
  <si>
    <t>电机最大功率</t>
    <phoneticPr fontId="1" type="noConversion"/>
  </si>
  <si>
    <t>电机反电势系数</t>
    <phoneticPr fontId="1" type="noConversion"/>
  </si>
  <si>
    <t>标幺基准值</t>
    <phoneticPr fontId="1" type="noConversion"/>
  </si>
  <si>
    <t>标幺变量</t>
    <phoneticPr fontId="1" type="noConversion"/>
  </si>
  <si>
    <t>标幺值</t>
    <phoneticPr fontId="1" type="noConversion"/>
  </si>
  <si>
    <t>误差</t>
    <phoneticPr fontId="1" type="noConversion"/>
  </si>
  <si>
    <t>MC_Sim_BaseStep</t>
    <phoneticPr fontId="1" type="noConversion"/>
  </si>
  <si>
    <t>MC_Sim_HFTStep</t>
    <phoneticPr fontId="1" type="noConversion"/>
  </si>
  <si>
    <t>MC_Sim_MFTStep</t>
    <phoneticPr fontId="1" type="noConversion"/>
  </si>
  <si>
    <t>基础步长</t>
    <phoneticPr fontId="1" type="noConversion"/>
  </si>
  <si>
    <t>高频任务步长</t>
    <phoneticPr fontId="1" type="noConversion"/>
  </si>
  <si>
    <t>中频任务步长</t>
    <phoneticPr fontId="1" type="noConversion"/>
  </si>
  <si>
    <t>single</t>
    <phoneticPr fontId="1" type="noConversion"/>
  </si>
  <si>
    <t>电机模型</t>
    <phoneticPr fontId="1" type="noConversion"/>
  </si>
  <si>
    <t>电机定子绕组模型</t>
    <phoneticPr fontId="1" type="noConversion"/>
  </si>
  <si>
    <t>MC_Motor_Rotor_Pn</t>
    <phoneticPr fontId="1" type="noConversion"/>
  </si>
  <si>
    <t>电机转子极对数</t>
    <phoneticPr fontId="1" type="noConversion"/>
  </si>
  <si>
    <t>MC_Motor_BEMF</t>
    <phoneticPr fontId="1" type="noConversion"/>
  </si>
  <si>
    <t>MC_Motor_SpeedMax</t>
    <phoneticPr fontId="1" type="noConversion"/>
  </si>
  <si>
    <t>电机最大转速</t>
    <phoneticPr fontId="1" type="noConversion"/>
  </si>
  <si>
    <t>MC_Motor_Phi</t>
    <phoneticPr fontId="1" type="noConversion"/>
  </si>
  <si>
    <t>电机永磁体磁链</t>
    <phoneticPr fontId="1" type="noConversion"/>
  </si>
  <si>
    <t>MC_Motor_Stator_Ld</t>
    <phoneticPr fontId="1" type="noConversion"/>
  </si>
  <si>
    <t>MC_Motor_Stator_Lq</t>
    <phoneticPr fontId="1" type="noConversion"/>
  </si>
  <si>
    <t>MC_Motor_Stator_L0</t>
    <phoneticPr fontId="1" type="noConversion"/>
  </si>
  <si>
    <t>MC_Motor_Stator_Rs</t>
    <phoneticPr fontId="1" type="noConversion"/>
  </si>
  <si>
    <t>MC_Motor_Mechinal_Inertia</t>
    <phoneticPr fontId="1" type="noConversion"/>
  </si>
  <si>
    <t>MC_Motor_Mechinal_Damp</t>
    <phoneticPr fontId="1" type="noConversion"/>
  </si>
  <si>
    <t>MC_Motor_Mechinal_Fric</t>
    <phoneticPr fontId="1" type="noConversion"/>
  </si>
  <si>
    <t>MC_Motor_Mechinal_TF</t>
    <phoneticPr fontId="1" type="noConversion"/>
  </si>
  <si>
    <t>电机转动惯量</t>
    <phoneticPr fontId="1" type="noConversion"/>
  </si>
  <si>
    <t>电机机械阻尼</t>
    <phoneticPr fontId="1" type="noConversion"/>
  </si>
  <si>
    <t>电机静摩擦</t>
    <phoneticPr fontId="1" type="noConversion"/>
  </si>
  <si>
    <t>Unit</t>
    <phoneticPr fontId="1" type="noConversion"/>
  </si>
  <si>
    <t>电机阻力系数</t>
    <phoneticPr fontId="1" type="noConversion"/>
  </si>
  <si>
    <t>电机定子D轴电感</t>
    <phoneticPr fontId="1" type="noConversion"/>
  </si>
  <si>
    <t>电机定子Q轴电感</t>
    <phoneticPr fontId="1" type="noConversion"/>
  </si>
  <si>
    <t>电机定子零序电感</t>
    <phoneticPr fontId="1" type="noConversion"/>
  </si>
  <si>
    <t>电机定子相电阻</t>
    <phoneticPr fontId="1" type="noConversion"/>
  </si>
  <si>
    <t>MC_MOS_Rds</t>
    <phoneticPr fontId="1" type="noConversion"/>
  </si>
  <si>
    <t>MC_MOS_Threshold</t>
    <phoneticPr fontId="1" type="noConversion"/>
  </si>
  <si>
    <t>MC_MOS_Cs</t>
    <phoneticPr fontId="1" type="noConversion"/>
  </si>
  <si>
    <t>MC_MOS_DeadTime</t>
    <phoneticPr fontId="1" type="noConversion"/>
  </si>
  <si>
    <t>MC_ADC_Ts</t>
    <phoneticPr fontId="1" type="noConversion"/>
  </si>
  <si>
    <t>MC_Sample_Rs</t>
    <phoneticPr fontId="1" type="noConversion"/>
  </si>
  <si>
    <t>MC_Sample_VbusNoise</t>
    <phoneticPr fontId="1" type="noConversion"/>
  </si>
  <si>
    <t>MC_Sample_CurrentNoise</t>
    <phoneticPr fontId="1" type="noConversion"/>
  </si>
  <si>
    <t>逆变器MOS管内阻</t>
    <phoneticPr fontId="1" type="noConversion"/>
  </si>
  <si>
    <t>逆变器MOS管开启电压</t>
    <phoneticPr fontId="1" type="noConversion"/>
  </si>
  <si>
    <t>逆变器上下桥死区时间</t>
    <phoneticPr fontId="1" type="noConversion"/>
  </si>
  <si>
    <t>ADC采样和转换时间</t>
    <phoneticPr fontId="1" type="noConversion"/>
  </si>
  <si>
    <t>硬件采样电阻</t>
    <phoneticPr fontId="1" type="noConversion"/>
  </si>
  <si>
    <t>母线电压采样噪声功率</t>
    <phoneticPr fontId="1" type="noConversion"/>
  </si>
  <si>
    <t>相电流采样噪声功率</t>
    <phoneticPr fontId="1" type="noConversion"/>
  </si>
  <si>
    <t>MC_Sample_Model</t>
    <phoneticPr fontId="1" type="noConversion"/>
  </si>
  <si>
    <t>MC_Motor_WindType</t>
    <phoneticPr fontId="1" type="noConversion"/>
  </si>
  <si>
    <t>MC_Motor_ModelType</t>
    <phoneticPr fontId="1" type="noConversion"/>
  </si>
  <si>
    <t>Const</t>
    <phoneticPr fontId="1" type="noConversion"/>
  </si>
  <si>
    <t>逆变器MOS管参数</t>
    <phoneticPr fontId="1" type="noConversion"/>
  </si>
  <si>
    <t>RPM</t>
    <phoneticPr fontId="1" type="noConversion"/>
  </si>
  <si>
    <t>V</t>
    <phoneticPr fontId="1" type="noConversion"/>
  </si>
  <si>
    <t>A</t>
    <phoneticPr fontId="1" type="noConversion"/>
  </si>
  <si>
    <t>V/krpm</t>
    <phoneticPr fontId="1" type="noConversion"/>
  </si>
  <si>
    <t>Wb</t>
    <phoneticPr fontId="1" type="noConversion"/>
  </si>
  <si>
    <t>kg*m^2</t>
    <phoneticPr fontId="1" type="noConversion"/>
  </si>
  <si>
    <t>N*m*s/rad</t>
    <phoneticPr fontId="1" type="noConversion"/>
  </si>
  <si>
    <t>H</t>
    <phoneticPr fontId="1" type="noConversion"/>
  </si>
  <si>
    <t>Ω、Ohm</t>
    <phoneticPr fontId="1" type="noConversion"/>
  </si>
  <si>
    <t>Ohm</t>
    <phoneticPr fontId="1" type="noConversion"/>
  </si>
  <si>
    <t>MC_Param_SVPWM_DutyMax</t>
    <phoneticPr fontId="1" type="noConversion"/>
  </si>
  <si>
    <t>SVPWM占空比最大值</t>
    <phoneticPr fontId="1" type="noConversion"/>
  </si>
  <si>
    <t>MC_Param_SVPWM_DutyMin</t>
    <phoneticPr fontId="1" type="noConversion"/>
  </si>
  <si>
    <t>SVPWM占空比最小值</t>
    <phoneticPr fontId="1" type="noConversion"/>
  </si>
  <si>
    <t>MC_Param_SpeedPI_Wc</t>
    <phoneticPr fontId="1" type="noConversion"/>
  </si>
  <si>
    <t>转速环带宽</t>
    <phoneticPr fontId="1" type="noConversion"/>
  </si>
  <si>
    <t>MC_Param_CurrentPI_Wc</t>
    <phoneticPr fontId="1" type="noConversion"/>
  </si>
  <si>
    <t>电流环带宽</t>
    <phoneticPr fontId="1" type="noConversion"/>
  </si>
  <si>
    <t>MC_Param_SpeedPI_Kp</t>
    <phoneticPr fontId="1" type="noConversion"/>
  </si>
  <si>
    <t>MC_Param_SpeedPI_Ki</t>
    <phoneticPr fontId="1" type="noConversion"/>
  </si>
  <si>
    <t>转速环Kp</t>
    <phoneticPr fontId="1" type="noConversion"/>
  </si>
  <si>
    <t>转速环Ki</t>
    <phoneticPr fontId="1" type="noConversion"/>
  </si>
  <si>
    <t>MC_Param_CurrentPI_Kp</t>
    <phoneticPr fontId="1" type="noConversion"/>
  </si>
  <si>
    <t>MC_Param_CurrentPI_Ki</t>
    <phoneticPr fontId="1" type="noConversion"/>
  </si>
  <si>
    <t>电流环Kp</t>
    <phoneticPr fontId="1" type="noConversion"/>
  </si>
  <si>
    <t>电流环Ki</t>
    <phoneticPr fontId="1" type="noConversion"/>
  </si>
  <si>
    <t>MC_Param_SMO_CoffA</t>
    <phoneticPr fontId="1" type="noConversion"/>
  </si>
  <si>
    <t>MC_Param_SMO_CoffB</t>
    <phoneticPr fontId="1" type="noConversion"/>
  </si>
  <si>
    <t>MC_Param_SMO_PLL_Kp</t>
    <phoneticPr fontId="1" type="noConversion"/>
  </si>
  <si>
    <t>MC_Param_SMO_PLL_Ki</t>
    <phoneticPr fontId="1" type="noConversion"/>
  </si>
  <si>
    <t>MC_Param_RPMtoRad</t>
    <phoneticPr fontId="1" type="noConversion"/>
  </si>
  <si>
    <t>MC_Param_RadtoRPM</t>
    <phoneticPr fontId="1" type="noConversion"/>
  </si>
  <si>
    <t>MC_Param_SMO_PLL_Wc</t>
    <phoneticPr fontId="1" type="noConversion"/>
  </si>
  <si>
    <t>MC_Param_CurrentPI_Err</t>
    <phoneticPr fontId="1" type="noConversion"/>
  </si>
  <si>
    <t>电流环积分分离误差阈值</t>
    <phoneticPr fontId="1" type="noConversion"/>
  </si>
  <si>
    <t>MC_Param_CurrentPI_UdMax</t>
    <phoneticPr fontId="1" type="noConversion"/>
  </si>
  <si>
    <t>MC_Param_CurrentPI_UdInteMax</t>
    <phoneticPr fontId="1" type="noConversion"/>
  </si>
  <si>
    <t>MC_Param_CurrentPI_UdInteMin</t>
    <phoneticPr fontId="1" type="noConversion"/>
  </si>
  <si>
    <t>MC_Param_CurrentPI_UdMin</t>
    <phoneticPr fontId="1" type="noConversion"/>
  </si>
  <si>
    <t>MC_Param_CurrentPI_UqInteMax</t>
    <phoneticPr fontId="1" type="noConversion"/>
  </si>
  <si>
    <t>MC_Param_CurrentPI_UqInteMin</t>
    <phoneticPr fontId="1" type="noConversion"/>
  </si>
  <si>
    <t>MC_Param_CurrentPI_UqMax</t>
    <phoneticPr fontId="1" type="noConversion"/>
  </si>
  <si>
    <t>MC_Param_CurrentPI_UqMin</t>
    <phoneticPr fontId="1" type="noConversion"/>
  </si>
  <si>
    <t>MC_Param_CurrentPI_UdInitial</t>
    <phoneticPr fontId="1" type="noConversion"/>
  </si>
  <si>
    <t>MC_Param_CurrentPI_UqInitial</t>
    <phoneticPr fontId="1" type="noConversion"/>
  </si>
  <si>
    <t>电流环Ud积分初值</t>
    <phoneticPr fontId="1" type="noConversion"/>
  </si>
  <si>
    <t>电流环Ud积分上限</t>
    <phoneticPr fontId="1" type="noConversion"/>
  </si>
  <si>
    <t>电流环Ud积分下限</t>
    <phoneticPr fontId="1" type="noConversion"/>
  </si>
  <si>
    <t>电流环Ud输出下限</t>
    <phoneticPr fontId="1" type="noConversion"/>
  </si>
  <si>
    <t>电流环Ud输出上限</t>
    <phoneticPr fontId="1" type="noConversion"/>
  </si>
  <si>
    <t>电流环Uq积分初值</t>
    <phoneticPr fontId="1" type="noConversion"/>
  </si>
  <si>
    <t>电流环Uq积分上限</t>
    <phoneticPr fontId="1" type="noConversion"/>
  </si>
  <si>
    <t>电流环Uq积分下限</t>
    <phoneticPr fontId="1" type="noConversion"/>
  </si>
  <si>
    <t>电流环Uq输出上限</t>
    <phoneticPr fontId="1" type="noConversion"/>
  </si>
  <si>
    <t>电流环Uq输出下限</t>
    <phoneticPr fontId="1" type="noConversion"/>
  </si>
  <si>
    <t>电机额定电压</t>
    <phoneticPr fontId="1" type="noConversion"/>
  </si>
  <si>
    <t>W</t>
    <phoneticPr fontId="1" type="noConversion"/>
  </si>
  <si>
    <t>电机最大工作电压</t>
    <phoneticPr fontId="1" type="noConversion"/>
  </si>
  <si>
    <t>MC_Input_VdcMax</t>
    <phoneticPr fontId="1" type="noConversion"/>
  </si>
  <si>
    <t>MC_Input_VdcMin</t>
    <phoneticPr fontId="1" type="noConversion"/>
  </si>
  <si>
    <t>电机最小工作电压</t>
    <phoneticPr fontId="1" type="noConversion"/>
  </si>
  <si>
    <t>RPM转换Rad</t>
    <phoneticPr fontId="1" type="noConversion"/>
  </si>
  <si>
    <t>Rad转换RPM</t>
    <phoneticPr fontId="1" type="noConversion"/>
  </si>
  <si>
    <t>MC_Sample_ORSType</t>
    <phoneticPr fontId="1" type="noConversion"/>
  </si>
  <si>
    <t>MC_Sample_ValidTime</t>
    <phoneticPr fontId="1" type="noConversion"/>
  </si>
  <si>
    <t>s</t>
    <phoneticPr fontId="1" type="noConversion"/>
  </si>
  <si>
    <t>电流采样最小有效时间</t>
    <phoneticPr fontId="1" type="noConversion"/>
  </si>
  <si>
    <t>MC_Param_SVPWM_SampleOffset1</t>
    <phoneticPr fontId="1" type="noConversion"/>
  </si>
  <si>
    <t>SVPWM采样点1偏移</t>
    <phoneticPr fontId="1" type="noConversion"/>
  </si>
  <si>
    <t>MC_Param_SVPWM_SampleOffset2</t>
    <phoneticPr fontId="1" type="noConversion"/>
  </si>
  <si>
    <t>SVPWM采样点2偏移</t>
    <phoneticPr fontId="1" type="noConversion"/>
  </si>
  <si>
    <t>相电流采样策略
1：单电阻；2：双电阻；3：三电阻</t>
    <phoneticPr fontId="1" type="noConversion"/>
  </si>
  <si>
    <t>单电阻采样策略
1：单边采样；2：双边采样</t>
    <phoneticPr fontId="1" type="noConversion"/>
  </si>
  <si>
    <t>常数</t>
    <phoneticPr fontId="1" type="noConversion"/>
  </si>
  <si>
    <t>转速环</t>
    <phoneticPr fontId="1" type="noConversion"/>
  </si>
  <si>
    <t>电流环</t>
    <phoneticPr fontId="1" type="noConversion"/>
  </si>
  <si>
    <t>滑膜观测器</t>
    <phoneticPr fontId="1" type="noConversion"/>
  </si>
  <si>
    <t>空间矢量调制</t>
    <phoneticPr fontId="1" type="noConversion"/>
  </si>
  <si>
    <t>滑膜电流参数</t>
    <phoneticPr fontId="1" type="noConversion"/>
  </si>
  <si>
    <t>滑膜电压参数</t>
    <phoneticPr fontId="1" type="noConversion"/>
  </si>
  <si>
    <t>MC_Param_SMO_E_Max</t>
    <phoneticPr fontId="1" type="noConversion"/>
  </si>
  <si>
    <t>MC_Param_SMO_E_Min</t>
    <phoneticPr fontId="1" type="noConversion"/>
  </si>
  <si>
    <t>滑膜饱和函数最大值</t>
    <phoneticPr fontId="1" type="noConversion"/>
  </si>
  <si>
    <t>滑膜饱和函数最小值</t>
    <phoneticPr fontId="1" type="noConversion"/>
  </si>
  <si>
    <t>MC_Param_SpeedtoTheta</t>
    <phoneticPr fontId="1" type="noConversion"/>
  </si>
  <si>
    <t>MC_Param_Zero</t>
    <phoneticPr fontId="1" type="noConversion"/>
  </si>
  <si>
    <t>参数零值</t>
    <phoneticPr fontId="1" type="noConversion"/>
  </si>
  <si>
    <t>转速转换角度</t>
    <phoneticPr fontId="1" type="noConversion"/>
  </si>
  <si>
    <t>锁相环</t>
    <phoneticPr fontId="1" type="noConversion"/>
  </si>
  <si>
    <t>磁链观测器</t>
    <phoneticPr fontId="1" type="noConversion"/>
  </si>
  <si>
    <t>MC_Param_Flux_Gamma</t>
    <phoneticPr fontId="1" type="noConversion"/>
  </si>
  <si>
    <t>磁链观测器增益</t>
    <phoneticPr fontId="1" type="noConversion"/>
  </si>
  <si>
    <t>MC_Param_SpeedCtrl_IqMax</t>
    <phoneticPr fontId="1" type="noConversion"/>
  </si>
  <si>
    <t>MC_Param_SpeedCtrl_IqMin</t>
    <phoneticPr fontId="1" type="noConversion"/>
  </si>
  <si>
    <t>转速控制器Iq最大输出</t>
    <phoneticPr fontId="1" type="noConversion"/>
  </si>
  <si>
    <t>MC_Param_SpeedCtrl_IdMax</t>
    <phoneticPr fontId="1" type="noConversion"/>
  </si>
  <si>
    <t>MC_Param_SpeedCtrl_IdMin</t>
    <phoneticPr fontId="1" type="noConversion"/>
  </si>
  <si>
    <t>转速控制器Id最大输出</t>
    <phoneticPr fontId="1" type="noConversion"/>
  </si>
  <si>
    <t>转速环控制器Id最小输出</t>
    <phoneticPr fontId="1" type="noConversion"/>
  </si>
  <si>
    <t>转速环控制器Iq最小输出</t>
    <phoneticPr fontId="1" type="noConversion"/>
  </si>
  <si>
    <t>SVPWM采样最小有效时间</t>
    <phoneticPr fontId="1" type="noConversion"/>
  </si>
  <si>
    <t>MC_Param_SVPWM_SampleValid</t>
    <phoneticPr fontId="1" type="noConversion"/>
  </si>
  <si>
    <t xml:space="preserve"> </t>
    <phoneticPr fontId="1" type="noConversion"/>
  </si>
  <si>
    <t>CSA放大增益</t>
    <phoneticPr fontId="1" type="noConversion"/>
  </si>
  <si>
    <t>ADC采样偏执电压</t>
    <phoneticPr fontId="1" type="noConversion"/>
  </si>
  <si>
    <t>ADC采样位数</t>
    <phoneticPr fontId="1" type="noConversion"/>
  </si>
  <si>
    <t>ADC采样参考电压</t>
    <phoneticPr fontId="1" type="noConversion"/>
  </si>
  <si>
    <t>MC_CSA_Gain</t>
    <phoneticPr fontId="1" type="noConversion"/>
  </si>
  <si>
    <t>MC_ADC_Offset</t>
    <phoneticPr fontId="1" type="noConversion"/>
  </si>
  <si>
    <t>MC_ADC_BitNum</t>
    <phoneticPr fontId="1" type="noConversion"/>
  </si>
  <si>
    <t>MC_ADC_VRef</t>
    <phoneticPr fontId="1" type="noConversion"/>
  </si>
  <si>
    <t>MC_Param_PhasetoReal</t>
    <phoneticPr fontId="1" type="noConversion"/>
  </si>
  <si>
    <t>MC_Motor_Stator_Lalpha</t>
    <phoneticPr fontId="1" type="noConversion"/>
  </si>
  <si>
    <t>MC_Motor_Stator_Lbeta</t>
    <phoneticPr fontId="1" type="noConversion"/>
  </si>
  <si>
    <t>MC_Motor_Stator_Lalphabeta</t>
    <phoneticPr fontId="1" type="noConversion"/>
  </si>
  <si>
    <t>MC_Param_Flux_Lalpha</t>
    <phoneticPr fontId="1" type="noConversion"/>
  </si>
  <si>
    <t>MC_Param_Flux_Lbeta</t>
    <phoneticPr fontId="1" type="noConversion"/>
  </si>
  <si>
    <t>MC_Param_Flux_Ralpha</t>
    <phoneticPr fontId="1" type="noConversion"/>
  </si>
  <si>
    <t>MC_Param_Flux_Rbeta</t>
    <phoneticPr fontId="1" type="noConversion"/>
  </si>
  <si>
    <t>磁链观测器α轴电阻</t>
    <phoneticPr fontId="1" type="noConversion"/>
  </si>
  <si>
    <t>磁链观测器β轴电阻</t>
    <phoneticPr fontId="1" type="noConversion"/>
  </si>
  <si>
    <t>磁链观测器α轴电感</t>
    <phoneticPr fontId="1" type="noConversion"/>
  </si>
  <si>
    <t>磁链观测器β轴电感</t>
    <phoneticPr fontId="1" type="noConversion"/>
  </si>
  <si>
    <t>Luenberger观测器参数</t>
    <phoneticPr fontId="1" type="noConversion"/>
  </si>
  <si>
    <t>MC_Param_Luen_Currentbeta</t>
    <phoneticPr fontId="1" type="noConversion"/>
  </si>
  <si>
    <t>MC_Param_Luen_Currentalpha</t>
    <phoneticPr fontId="1" type="noConversion"/>
  </si>
  <si>
    <t>MC_Param_Luen_Voltagealpha</t>
    <phoneticPr fontId="1" type="noConversion"/>
  </si>
  <si>
    <t>MC_Param_Luen_Voltagebeta</t>
    <phoneticPr fontId="1" type="noConversion"/>
  </si>
  <si>
    <t>龙贝格观测器α轴电流参数</t>
    <phoneticPr fontId="1" type="noConversion"/>
  </si>
  <si>
    <t>龙贝格观测器β轴电流参数</t>
    <phoneticPr fontId="1" type="noConversion"/>
  </si>
  <si>
    <t>龙贝格观测器α轴反电势参数</t>
    <phoneticPr fontId="1" type="noConversion"/>
  </si>
  <si>
    <t>龙贝格观测器β轴反电势参数</t>
    <phoneticPr fontId="1" type="noConversion"/>
  </si>
  <si>
    <t>龙贝格观测器α轴电压参数</t>
    <phoneticPr fontId="1" type="noConversion"/>
  </si>
  <si>
    <t>龙贝格观测器β轴电压参数</t>
    <phoneticPr fontId="1" type="noConversion"/>
  </si>
  <si>
    <t>龙贝格观测器α轴电流误差参数</t>
    <phoneticPr fontId="1" type="noConversion"/>
  </si>
  <si>
    <t>龙贝格观测器β轴电流误差参数</t>
    <phoneticPr fontId="1" type="noConversion"/>
  </si>
  <si>
    <t>MC_Param_Luen_CurrentErr</t>
    <phoneticPr fontId="1" type="noConversion"/>
  </si>
  <si>
    <t>MC_Param_Luen_BEMFalpha</t>
    <phoneticPr fontId="1" type="noConversion"/>
  </si>
  <si>
    <t>MC_Param_Luen_BEMFbeta</t>
    <phoneticPr fontId="1" type="noConversion"/>
  </si>
  <si>
    <t>MC_Param_Luen_BEMFErr</t>
    <phoneticPr fontId="1" type="noConversion"/>
  </si>
  <si>
    <t>MC_Param_Flux_PLL_Kp</t>
    <phoneticPr fontId="1" type="noConversion"/>
  </si>
  <si>
    <t>MC_Param_Flux_PLL_Ki</t>
    <phoneticPr fontId="1" type="noConversion"/>
  </si>
  <si>
    <t>MC_Param_Flux_PLL_Wc</t>
    <phoneticPr fontId="1" type="noConversion"/>
  </si>
  <si>
    <t>滑膜观测器锁相环带宽</t>
    <phoneticPr fontId="1" type="noConversion"/>
  </si>
  <si>
    <t>滑膜观测器锁相环Kp</t>
    <phoneticPr fontId="1" type="noConversion"/>
  </si>
  <si>
    <t>滑膜观测器锁相环Ki</t>
    <phoneticPr fontId="1" type="noConversion"/>
  </si>
  <si>
    <t>磁链观测器锁相环带宽</t>
    <phoneticPr fontId="1" type="noConversion"/>
  </si>
  <si>
    <t>磁链观测器锁相环Kp</t>
    <phoneticPr fontId="1" type="noConversion"/>
  </si>
  <si>
    <t>磁链观测器锁相环Ki</t>
    <phoneticPr fontId="1" type="noConversion"/>
  </si>
  <si>
    <t>MC_Param_Luen_PLL_Wc</t>
    <phoneticPr fontId="1" type="noConversion"/>
  </si>
  <si>
    <t>MC_Param_Luen_PLL_Kp</t>
    <phoneticPr fontId="1" type="noConversion"/>
  </si>
  <si>
    <t>MC_Param_Luen_PLL_Ki</t>
    <phoneticPr fontId="1" type="noConversion"/>
  </si>
  <si>
    <t>龙贝格观测器锁相环带宽</t>
    <phoneticPr fontId="1" type="noConversion"/>
  </si>
  <si>
    <t>龙贝格观测器锁相环Kp</t>
    <phoneticPr fontId="1" type="noConversion"/>
  </si>
  <si>
    <t>龙贝格观测器锁相环Ki</t>
    <phoneticPr fontId="1" type="noConversion"/>
  </si>
  <si>
    <t>MC_Param_SpeedPI_Kp_II</t>
    <phoneticPr fontId="1" type="noConversion"/>
  </si>
  <si>
    <t>MC_Param_SpeedPI_Ki_II</t>
    <phoneticPr fontId="1" type="noConversion"/>
  </si>
  <si>
    <t>MC_Sim_BaseFreq</t>
    <phoneticPr fontId="1" type="noConversion"/>
  </si>
  <si>
    <t>MC_Sim_HFTFreq</t>
    <phoneticPr fontId="1" type="noConversion"/>
  </si>
  <si>
    <t>MC_Sim_MFTFreq</t>
    <phoneticPr fontId="1" type="noConversion"/>
  </si>
  <si>
    <t>MC_Paran_CurrentADRC_LESO_W0</t>
    <phoneticPr fontId="1" type="noConversion"/>
  </si>
  <si>
    <t>电流ADRC的LESO带宽</t>
    <phoneticPr fontId="1" type="noConversion"/>
  </si>
  <si>
    <t>MC_Paran_CurrentADRC_NLSEF_Wc</t>
    <phoneticPr fontId="1" type="noConversion"/>
  </si>
  <si>
    <t>电流ADRC的NLSEF带宽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</si>
</sst>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workbookViewId="0">
      <selection activeCell="A13" sqref="A13"/>
    </sheetView>
  </sheetViews>
  <sheetFormatPr defaultRowHeight="14.25" x14ac:dyDescent="0.2"/>
  <cols>
    <col min="1" max="1" width="27.625" style="2" customWidth="1"/>
    <col min="2" max="2" width="9.125" style="2"/>
    <col min="3" max="3" width="17.5" style="2" customWidth="1"/>
    <col min="4" max="5" width="13.375" style="2" customWidth="1"/>
    <col min="6" max="6" width="12.5" style="2" customWidth="1"/>
    <col min="7" max="7" width="19.125" style="2" customWidth="1"/>
    <col min="8" max="8" width="30.375" style="2" customWidth="1"/>
    <col min="9" max="9" width="13.375" style="5" customWidth="1"/>
  </cols>
  <sheetData>
    <row r="1" spans="1:9" s="3" customFormat="1" ht="20.25" customHeight="1" x14ac:dyDescent="0.2">
      <c r="A1" s="1" t="s">
        <v>0</v>
      </c>
      <c r="B1" s="1" t="s">
        <v>1</v>
      </c>
      <c r="C1" s="1" t="s">
        <v>3</v>
      </c>
      <c r="D1" s="1" t="s">
        <v>8</v>
      </c>
      <c r="E1" s="1" t="s">
        <v>9</v>
      </c>
      <c r="F1" s="1" t="s">
        <v>4</v>
      </c>
      <c r="G1" s="1" t="s">
        <v>5</v>
      </c>
      <c r="H1" s="1" t="s">
        <v>7</v>
      </c>
      <c r="I1" s="1" t="s">
        <v>49</v>
      </c>
    </row>
    <row r="2" spans="1:9" x14ac:dyDescent="0.2">
      <c r="A2" s="11" t="s">
        <v>11</v>
      </c>
      <c r="B2" s="11" t="s">
        <v>10</v>
      </c>
      <c r="C2" s="11">
        <v>13.5</v>
      </c>
      <c r="D2" s="11">
        <v>0</v>
      </c>
      <c r="E2" s="11">
        <v>500</v>
      </c>
      <c r="F2" s="11" t="s">
        <v>73</v>
      </c>
      <c r="G2" s="11">
        <v>1</v>
      </c>
      <c r="H2" s="11" t="s">
        <v>130</v>
      </c>
      <c r="I2" s="11" t="s">
        <v>76</v>
      </c>
    </row>
    <row r="3" spans="1:9" x14ac:dyDescent="0.2">
      <c r="A3" s="11" t="s">
        <v>133</v>
      </c>
      <c r="B3" s="11" t="s">
        <v>10</v>
      </c>
      <c r="C3" s="11">
        <v>16</v>
      </c>
      <c r="D3" s="11">
        <v>0</v>
      </c>
      <c r="E3" s="11">
        <v>500</v>
      </c>
      <c r="F3" s="11" t="s">
        <v>73</v>
      </c>
      <c r="G3" s="11">
        <v>1</v>
      </c>
      <c r="H3" s="11" t="s">
        <v>132</v>
      </c>
      <c r="I3" s="11" t="s">
        <v>76</v>
      </c>
    </row>
    <row r="4" spans="1:9" x14ac:dyDescent="0.2">
      <c r="A4" s="11" t="s">
        <v>134</v>
      </c>
      <c r="B4" s="11" t="s">
        <v>10</v>
      </c>
      <c r="C4" s="11">
        <v>8</v>
      </c>
      <c r="D4" s="11">
        <v>0</v>
      </c>
      <c r="E4" s="11">
        <v>500</v>
      </c>
      <c r="F4" s="11" t="s">
        <v>73</v>
      </c>
      <c r="G4" s="11">
        <v>1</v>
      </c>
      <c r="H4" s="11" t="s">
        <v>135</v>
      </c>
      <c r="I4" s="11" t="s">
        <v>76</v>
      </c>
    </row>
    <row r="5" spans="1:9" x14ac:dyDescent="0.2">
      <c r="A5" s="11" t="s">
        <v>13</v>
      </c>
      <c r="B5" s="11" t="s">
        <v>10</v>
      </c>
      <c r="C5" s="11">
        <v>80</v>
      </c>
      <c r="D5" s="11">
        <v>0</v>
      </c>
      <c r="E5" s="11">
        <v>500</v>
      </c>
      <c r="F5" s="11" t="s">
        <v>73</v>
      </c>
      <c r="G5" s="11">
        <v>1</v>
      </c>
      <c r="H5" s="11" t="s">
        <v>14</v>
      </c>
      <c r="I5" s="11" t="s">
        <v>77</v>
      </c>
    </row>
    <row r="6" spans="1:9" x14ac:dyDescent="0.2">
      <c r="A6" s="11" t="s">
        <v>15</v>
      </c>
      <c r="B6" s="11" t="s">
        <v>10</v>
      </c>
      <c r="C6" s="11">
        <v>4</v>
      </c>
      <c r="D6" s="11">
        <v>0</v>
      </c>
      <c r="E6" s="11">
        <v>500</v>
      </c>
      <c r="F6" s="11" t="s">
        <v>73</v>
      </c>
      <c r="G6" s="11">
        <v>1</v>
      </c>
      <c r="H6" s="11" t="s">
        <v>16</v>
      </c>
      <c r="I6" s="11" t="s">
        <v>131</v>
      </c>
    </row>
    <row r="7" spans="1:9" x14ac:dyDescent="0.2">
      <c r="A7" s="12" t="s">
        <v>72</v>
      </c>
      <c r="B7" s="12" t="s">
        <v>28</v>
      </c>
      <c r="C7" s="12">
        <v>1</v>
      </c>
      <c r="D7" s="12">
        <v>0</v>
      </c>
      <c r="E7" s="12">
        <v>500</v>
      </c>
      <c r="F7" s="12" t="s">
        <v>73</v>
      </c>
      <c r="G7" s="12">
        <v>1</v>
      </c>
      <c r="H7" s="13" t="s">
        <v>29</v>
      </c>
      <c r="I7" s="12"/>
    </row>
    <row r="8" spans="1:9" x14ac:dyDescent="0.2">
      <c r="A8" s="12" t="s">
        <v>71</v>
      </c>
      <c r="B8" s="12" t="s">
        <v>28</v>
      </c>
      <c r="C8" s="12">
        <v>1</v>
      </c>
      <c r="D8" s="12">
        <v>0</v>
      </c>
      <c r="E8" s="12">
        <v>500</v>
      </c>
      <c r="F8" s="12" t="s">
        <v>73</v>
      </c>
      <c r="G8" s="12">
        <v>1</v>
      </c>
      <c r="H8" s="12" t="s">
        <v>30</v>
      </c>
      <c r="I8" s="12"/>
    </row>
    <row r="9" spans="1:9" x14ac:dyDescent="0.2">
      <c r="A9" s="12" t="s">
        <v>34</v>
      </c>
      <c r="B9" s="12" t="s">
        <v>10</v>
      </c>
      <c r="C9" s="12">
        <v>3000</v>
      </c>
      <c r="D9" s="12">
        <v>0</v>
      </c>
      <c r="E9" s="12">
        <v>500</v>
      </c>
      <c r="F9" s="12" t="s">
        <v>73</v>
      </c>
      <c r="G9" s="12">
        <v>1</v>
      </c>
      <c r="H9" s="12" t="s">
        <v>35</v>
      </c>
      <c r="I9" s="12" t="s">
        <v>75</v>
      </c>
    </row>
    <row r="10" spans="1:9" x14ac:dyDescent="0.2">
      <c r="A10" s="12" t="s">
        <v>33</v>
      </c>
      <c r="B10" s="12" t="s">
        <v>10</v>
      </c>
      <c r="C10" s="12">
        <v>4.2939999999999996</v>
      </c>
      <c r="D10" s="12">
        <v>0</v>
      </c>
      <c r="E10" s="12">
        <v>500</v>
      </c>
      <c r="F10" s="12" t="s">
        <v>73</v>
      </c>
      <c r="G10" s="12">
        <v>1</v>
      </c>
      <c r="H10" s="12" t="s">
        <v>17</v>
      </c>
      <c r="I10" s="12" t="s">
        <v>78</v>
      </c>
    </row>
    <row r="11" spans="1:9" x14ac:dyDescent="0.2">
      <c r="A11" s="12" t="s">
        <v>36</v>
      </c>
      <c r="B11" s="12" t="s">
        <v>10</v>
      </c>
      <c r="C11" s="12">
        <f xml:space="preserve"> (电机反电势系数*60/(1000*2*PI()*电机转子极对数))*0.5774</f>
        <v>5.9190254913385806E-3</v>
      </c>
      <c r="D11" s="12">
        <v>0</v>
      </c>
      <c r="E11" s="12">
        <v>500</v>
      </c>
      <c r="F11" s="12" t="s">
        <v>73</v>
      </c>
      <c r="G11" s="12">
        <v>1</v>
      </c>
      <c r="H11" s="12" t="s">
        <v>37</v>
      </c>
      <c r="I11" s="12" t="s">
        <v>79</v>
      </c>
    </row>
    <row r="12" spans="1:9" x14ac:dyDescent="0.2">
      <c r="A12" s="12" t="s">
        <v>42</v>
      </c>
      <c r="B12" s="12" t="s">
        <v>10</v>
      </c>
      <c r="C12" s="12">
        <v>1.03E-2</v>
      </c>
      <c r="D12" s="12">
        <v>0</v>
      </c>
      <c r="E12" s="12">
        <v>500</v>
      </c>
      <c r="F12" s="12" t="s">
        <v>73</v>
      </c>
      <c r="G12" s="12">
        <v>1</v>
      </c>
      <c r="H12" s="12" t="s">
        <v>46</v>
      </c>
      <c r="I12" s="12" t="s">
        <v>80</v>
      </c>
    </row>
    <row r="13" spans="1:9" x14ac:dyDescent="0.2">
      <c r="A13" s="12" t="s">
        <v>43</v>
      </c>
      <c r="B13" s="12" t="s">
        <v>10</v>
      </c>
      <c r="C13" s="12">
        <v>1.0000000000000001E-5</v>
      </c>
      <c r="D13" s="12">
        <v>0</v>
      </c>
      <c r="E13" s="12">
        <v>500</v>
      </c>
      <c r="F13" s="12" t="s">
        <v>73</v>
      </c>
      <c r="G13" s="12">
        <v>1</v>
      </c>
      <c r="H13" s="12" t="s">
        <v>47</v>
      </c>
      <c r="I13" s="12" t="s">
        <v>81</v>
      </c>
    </row>
    <row r="14" spans="1:9" x14ac:dyDescent="0.2">
      <c r="A14" s="12" t="s">
        <v>44</v>
      </c>
      <c r="B14" s="12" t="s">
        <v>10</v>
      </c>
      <c r="C14" s="12">
        <v>0</v>
      </c>
      <c r="D14" s="12">
        <v>0</v>
      </c>
      <c r="E14" s="12">
        <v>500</v>
      </c>
      <c r="F14" s="12" t="s">
        <v>73</v>
      </c>
      <c r="G14" s="12">
        <v>1</v>
      </c>
      <c r="H14" s="12" t="s">
        <v>48</v>
      </c>
      <c r="I14" s="12"/>
    </row>
    <row r="15" spans="1:9" x14ac:dyDescent="0.2">
      <c r="A15" s="12" t="s">
        <v>45</v>
      </c>
      <c r="B15" s="12" t="s">
        <v>10</v>
      </c>
      <c r="C15" s="12">
        <v>8.5900000000000004E-2</v>
      </c>
      <c r="D15" s="12">
        <v>0</v>
      </c>
      <c r="E15" s="12">
        <v>500</v>
      </c>
      <c r="F15" s="12" t="s">
        <v>73</v>
      </c>
      <c r="G15" s="12">
        <v>1</v>
      </c>
      <c r="H15" s="12" t="s">
        <v>50</v>
      </c>
      <c r="I15" s="12"/>
    </row>
    <row r="16" spans="1:9" x14ac:dyDescent="0.2">
      <c r="A16" s="12" t="s">
        <v>31</v>
      </c>
      <c r="B16" s="12" t="s">
        <v>10</v>
      </c>
      <c r="C16" s="12">
        <v>4</v>
      </c>
      <c r="D16" s="12">
        <v>0</v>
      </c>
      <c r="E16" s="12">
        <v>500</v>
      </c>
      <c r="F16" s="12" t="s">
        <v>73</v>
      </c>
      <c r="G16" s="12">
        <v>1</v>
      </c>
      <c r="H16" s="12" t="s">
        <v>32</v>
      </c>
      <c r="I16" s="12"/>
    </row>
    <row r="17" spans="1:12" x14ac:dyDescent="0.2">
      <c r="A17" s="12" t="s">
        <v>38</v>
      </c>
      <c r="B17" s="12" t="s">
        <v>10</v>
      </c>
      <c r="C17" s="12">
        <v>5.6344999999999997E-5</v>
      </c>
      <c r="D17" s="12">
        <v>0</v>
      </c>
      <c r="E17" s="12">
        <v>500</v>
      </c>
      <c r="F17" s="12" t="s">
        <v>73</v>
      </c>
      <c r="G17" s="12">
        <v>1</v>
      </c>
      <c r="H17" s="12" t="s">
        <v>51</v>
      </c>
      <c r="I17" s="12" t="s">
        <v>82</v>
      </c>
    </row>
    <row r="18" spans="1:12" x14ac:dyDescent="0.2">
      <c r="A18" s="12" t="s">
        <v>39</v>
      </c>
      <c r="B18" s="12" t="s">
        <v>10</v>
      </c>
      <c r="C18" s="12">
        <v>5.6344999999999997E-5</v>
      </c>
      <c r="D18" s="12">
        <v>0</v>
      </c>
      <c r="E18" s="12">
        <v>500</v>
      </c>
      <c r="F18" s="12" t="s">
        <v>73</v>
      </c>
      <c r="G18" s="12">
        <v>1</v>
      </c>
      <c r="H18" s="12" t="s">
        <v>52</v>
      </c>
      <c r="I18" s="12" t="s">
        <v>82</v>
      </c>
    </row>
    <row r="19" spans="1:12" x14ac:dyDescent="0.2">
      <c r="A19" s="12" t="s">
        <v>40</v>
      </c>
      <c r="B19" s="12" t="s">
        <v>10</v>
      </c>
      <c r="C19" s="12">
        <v>0</v>
      </c>
      <c r="D19" s="12">
        <v>0</v>
      </c>
      <c r="E19" s="12">
        <v>500</v>
      </c>
      <c r="F19" s="12" t="s">
        <v>73</v>
      </c>
      <c r="G19" s="12">
        <v>1</v>
      </c>
      <c r="H19" s="12" t="s">
        <v>53</v>
      </c>
      <c r="I19" s="12" t="s">
        <v>82</v>
      </c>
    </row>
    <row r="20" spans="1:12" x14ac:dyDescent="0.2">
      <c r="A20" s="12" t="s">
        <v>187</v>
      </c>
      <c r="B20" s="12" t="s">
        <v>10</v>
      </c>
      <c r="C20" s="12">
        <f>(电机定子D轴电感+电机定子Q轴电感)/2</f>
        <v>5.6344999999999997E-5</v>
      </c>
      <c r="D20" s="12">
        <v>0</v>
      </c>
      <c r="E20" s="12">
        <v>500</v>
      </c>
      <c r="F20" s="12" t="s">
        <v>73</v>
      </c>
      <c r="G20" s="12">
        <v>1</v>
      </c>
      <c r="H20" s="12" t="s">
        <v>53</v>
      </c>
      <c r="I20" s="12" t="s">
        <v>82</v>
      </c>
    </row>
    <row r="21" spans="1:12" x14ac:dyDescent="0.2">
      <c r="A21" s="12" t="s">
        <v>188</v>
      </c>
      <c r="B21" s="12" t="s">
        <v>10</v>
      </c>
      <c r="C21" s="12">
        <f>(电机定子D轴电感+电机定子Q轴电感)/2</f>
        <v>5.6344999999999997E-5</v>
      </c>
      <c r="D21" s="12">
        <v>0</v>
      </c>
      <c r="E21" s="12">
        <v>500</v>
      </c>
      <c r="F21" s="12" t="s">
        <v>73</v>
      </c>
      <c r="G21" s="12">
        <v>1</v>
      </c>
      <c r="H21" s="12" t="s">
        <v>53</v>
      </c>
      <c r="I21" s="12" t="s">
        <v>82</v>
      </c>
      <c r="L21">
        <f>电机定子相电阻/C21</f>
        <v>507.58718608572195</v>
      </c>
    </row>
    <row r="22" spans="1:12" x14ac:dyDescent="0.2">
      <c r="A22" s="12" t="s">
        <v>189</v>
      </c>
      <c r="B22" s="12" t="s">
        <v>10</v>
      </c>
      <c r="C22" s="12">
        <f>(电机定子Q轴电感-电机定子D轴电感)/2</f>
        <v>0</v>
      </c>
      <c r="D22" s="12">
        <v>0</v>
      </c>
      <c r="E22" s="12">
        <v>500</v>
      </c>
      <c r="F22" s="12" t="s">
        <v>73</v>
      </c>
      <c r="G22" s="12">
        <v>1</v>
      </c>
      <c r="H22" s="12" t="s">
        <v>53</v>
      </c>
      <c r="I22" s="12" t="s">
        <v>82</v>
      </c>
    </row>
    <row r="23" spans="1:12" x14ac:dyDescent="0.2">
      <c r="A23" s="12" t="s">
        <v>41</v>
      </c>
      <c r="B23" s="12" t="s">
        <v>10</v>
      </c>
      <c r="C23" s="12">
        <v>2.86E-2</v>
      </c>
      <c r="D23" s="12">
        <v>0</v>
      </c>
      <c r="E23" s="12">
        <v>500</v>
      </c>
      <c r="F23" s="12" t="s">
        <v>73</v>
      </c>
      <c r="G23" s="12">
        <v>1</v>
      </c>
      <c r="H23" s="12" t="s">
        <v>54</v>
      </c>
      <c r="I23" s="12" t="s">
        <v>83</v>
      </c>
    </row>
    <row r="24" spans="1:12" x14ac:dyDescent="0.2">
      <c r="A24" s="11" t="s">
        <v>55</v>
      </c>
      <c r="B24" s="11" t="s">
        <v>10</v>
      </c>
      <c r="C24" s="11">
        <v>1E-3</v>
      </c>
      <c r="D24" s="11">
        <v>0</v>
      </c>
      <c r="E24" s="11">
        <v>500</v>
      </c>
      <c r="F24" s="11" t="s">
        <v>73</v>
      </c>
      <c r="G24" s="11">
        <v>1</v>
      </c>
      <c r="H24" s="11" t="s">
        <v>63</v>
      </c>
      <c r="I24" s="11" t="s">
        <v>83</v>
      </c>
    </row>
    <row r="25" spans="1:12" x14ac:dyDescent="0.2">
      <c r="A25" s="11" t="s">
        <v>56</v>
      </c>
      <c r="B25" s="11" t="s">
        <v>10</v>
      </c>
      <c r="C25" s="11">
        <v>0.5</v>
      </c>
      <c r="D25" s="11">
        <v>0</v>
      </c>
      <c r="E25" s="11">
        <v>500</v>
      </c>
      <c r="F25" s="11" t="s">
        <v>73</v>
      </c>
      <c r="G25" s="11">
        <v>1</v>
      </c>
      <c r="H25" s="11" t="s">
        <v>64</v>
      </c>
      <c r="I25" s="11" t="s">
        <v>76</v>
      </c>
    </row>
    <row r="26" spans="1:12" x14ac:dyDescent="0.2">
      <c r="A26" s="11" t="s">
        <v>57</v>
      </c>
      <c r="B26" s="11" t="s">
        <v>10</v>
      </c>
      <c r="C26" s="11">
        <v>9.9999999999999995E-7</v>
      </c>
      <c r="D26" s="11">
        <v>0</v>
      </c>
      <c r="E26" s="11">
        <v>500</v>
      </c>
      <c r="F26" s="11" t="s">
        <v>73</v>
      </c>
      <c r="G26" s="11">
        <v>1</v>
      </c>
      <c r="H26" s="11" t="s">
        <v>74</v>
      </c>
      <c r="I26" s="11" t="s">
        <v>84</v>
      </c>
    </row>
    <row r="27" spans="1:12" x14ac:dyDescent="0.2">
      <c r="A27" s="11" t="s">
        <v>58</v>
      </c>
      <c r="B27" s="11" t="s">
        <v>28</v>
      </c>
      <c r="C27" s="11">
        <v>1.3E-6</v>
      </c>
      <c r="D27" s="11">
        <v>0</v>
      </c>
      <c r="E27" s="11">
        <v>1</v>
      </c>
      <c r="F27" s="11" t="s">
        <v>73</v>
      </c>
      <c r="G27" s="11">
        <v>1</v>
      </c>
      <c r="H27" s="11" t="s">
        <v>65</v>
      </c>
      <c r="I27" s="11" t="s">
        <v>140</v>
      </c>
    </row>
    <row r="28" spans="1:12" x14ac:dyDescent="0.2">
      <c r="A28" s="12" t="s">
        <v>59</v>
      </c>
      <c r="B28" s="12" t="s">
        <v>28</v>
      </c>
      <c r="C28" s="12">
        <v>5.9999999999999997E-7</v>
      </c>
      <c r="D28" s="12">
        <v>0</v>
      </c>
      <c r="E28" s="12">
        <v>500</v>
      </c>
      <c r="F28" s="12" t="s">
        <v>73</v>
      </c>
      <c r="G28" s="12">
        <v>1</v>
      </c>
      <c r="H28" s="12" t="s">
        <v>66</v>
      </c>
      <c r="I28" s="12" t="s">
        <v>140</v>
      </c>
    </row>
    <row r="29" spans="1:12" x14ac:dyDescent="0.2">
      <c r="A29" s="12" t="s">
        <v>182</v>
      </c>
      <c r="B29" s="12" t="s">
        <v>10</v>
      </c>
      <c r="C29" s="12">
        <v>1</v>
      </c>
      <c r="D29" s="12">
        <v>0</v>
      </c>
      <c r="E29" s="12">
        <v>500</v>
      </c>
      <c r="F29" s="12" t="s">
        <v>73</v>
      </c>
      <c r="G29" s="12">
        <v>1</v>
      </c>
      <c r="H29" s="13" t="s">
        <v>178</v>
      </c>
      <c r="I29" s="12"/>
    </row>
    <row r="30" spans="1:12" x14ac:dyDescent="0.2">
      <c r="A30" s="12" t="s">
        <v>183</v>
      </c>
      <c r="B30" s="12" t="s">
        <v>10</v>
      </c>
      <c r="C30" s="12">
        <v>0</v>
      </c>
      <c r="D30" s="12">
        <v>0</v>
      </c>
      <c r="E30" s="12">
        <f>C32</f>
        <v>1</v>
      </c>
      <c r="F30" s="12" t="s">
        <v>73</v>
      </c>
      <c r="G30" s="12">
        <v>1</v>
      </c>
      <c r="H30" s="12" t="s">
        <v>179</v>
      </c>
      <c r="I30" s="12" t="s">
        <v>76</v>
      </c>
    </row>
    <row r="31" spans="1:12" x14ac:dyDescent="0.2">
      <c r="A31" s="12" t="s">
        <v>184</v>
      </c>
      <c r="B31" s="12" t="s">
        <v>10</v>
      </c>
      <c r="C31" s="12">
        <v>0</v>
      </c>
      <c r="D31" s="12">
        <v>0</v>
      </c>
      <c r="E31" s="12">
        <v>24</v>
      </c>
      <c r="F31" s="12" t="s">
        <v>73</v>
      </c>
      <c r="G31" s="12">
        <v>1</v>
      </c>
      <c r="H31" s="12" t="s">
        <v>180</v>
      </c>
      <c r="I31" s="12"/>
    </row>
    <row r="32" spans="1:12" x14ac:dyDescent="0.2">
      <c r="A32" s="12" t="s">
        <v>185</v>
      </c>
      <c r="B32" s="12" t="s">
        <v>10</v>
      </c>
      <c r="C32" s="12">
        <v>1</v>
      </c>
      <c r="D32" s="12">
        <v>0</v>
      </c>
      <c r="E32" s="12">
        <v>5</v>
      </c>
      <c r="F32" s="12" t="s">
        <v>73</v>
      </c>
      <c r="G32" s="12">
        <v>1</v>
      </c>
      <c r="H32" s="12" t="s">
        <v>181</v>
      </c>
      <c r="I32" s="12" t="s">
        <v>76</v>
      </c>
    </row>
    <row r="33" spans="1:9" ht="28.5" x14ac:dyDescent="0.2">
      <c r="A33" s="12" t="s">
        <v>70</v>
      </c>
      <c r="B33" s="12" t="s">
        <v>10</v>
      </c>
      <c r="C33" s="12">
        <v>1</v>
      </c>
      <c r="D33" s="12">
        <v>0</v>
      </c>
      <c r="E33" s="12">
        <v>500</v>
      </c>
      <c r="F33" s="12" t="s">
        <v>73</v>
      </c>
      <c r="G33" s="12">
        <v>1</v>
      </c>
      <c r="H33" s="13" t="s">
        <v>146</v>
      </c>
      <c r="I33" s="12"/>
    </row>
    <row r="34" spans="1:9" ht="28.5" x14ac:dyDescent="0.2">
      <c r="A34" s="12" t="s">
        <v>138</v>
      </c>
      <c r="B34" s="12" t="s">
        <v>10</v>
      </c>
      <c r="C34" s="12">
        <v>2</v>
      </c>
      <c r="D34" s="12">
        <v>0</v>
      </c>
      <c r="E34" s="12">
        <v>500</v>
      </c>
      <c r="F34" s="12" t="s">
        <v>73</v>
      </c>
      <c r="G34" s="12">
        <v>1</v>
      </c>
      <c r="H34" s="13" t="s">
        <v>147</v>
      </c>
      <c r="I34" s="12"/>
    </row>
    <row r="35" spans="1:9" x14ac:dyDescent="0.2">
      <c r="A35" s="12" t="s">
        <v>60</v>
      </c>
      <c r="B35" s="12" t="s">
        <v>10</v>
      </c>
      <c r="C35" s="12">
        <v>2E-3</v>
      </c>
      <c r="D35" s="12">
        <v>0</v>
      </c>
      <c r="E35" s="12">
        <v>500</v>
      </c>
      <c r="F35" s="12" t="s">
        <v>73</v>
      </c>
      <c r="G35" s="12">
        <v>1</v>
      </c>
      <c r="H35" s="12" t="s">
        <v>67</v>
      </c>
      <c r="I35" s="12" t="s">
        <v>84</v>
      </c>
    </row>
    <row r="36" spans="1:9" x14ac:dyDescent="0.2">
      <c r="A36" s="12" t="s">
        <v>139</v>
      </c>
      <c r="B36" s="12" t="s">
        <v>28</v>
      </c>
      <c r="C36" s="12">
        <f>C28</f>
        <v>5.9999999999999997E-7</v>
      </c>
      <c r="D36" s="12">
        <v>0</v>
      </c>
      <c r="E36" s="12">
        <v>1</v>
      </c>
      <c r="F36" s="12" t="s">
        <v>73</v>
      </c>
      <c r="G36" s="12">
        <v>1</v>
      </c>
      <c r="H36" s="12" t="s">
        <v>141</v>
      </c>
      <c r="I36" s="12" t="s">
        <v>140</v>
      </c>
    </row>
    <row r="37" spans="1:9" x14ac:dyDescent="0.2">
      <c r="A37" s="12" t="s">
        <v>61</v>
      </c>
      <c r="B37" s="12" t="s">
        <v>10</v>
      </c>
      <c r="C37" s="12">
        <v>1.0000000000000001E-15</v>
      </c>
      <c r="D37" s="12">
        <v>0</v>
      </c>
      <c r="E37" s="12">
        <v>500</v>
      </c>
      <c r="F37" s="12" t="s">
        <v>73</v>
      </c>
      <c r="G37" s="12">
        <v>1</v>
      </c>
      <c r="H37" s="12" t="s">
        <v>68</v>
      </c>
      <c r="I37" s="12"/>
    </row>
    <row r="38" spans="1:9" x14ac:dyDescent="0.2">
      <c r="A38" s="12" t="s">
        <v>62</v>
      </c>
      <c r="B38" s="12" t="s">
        <v>10</v>
      </c>
      <c r="C38" s="12">
        <v>1.0000000000000001E-15</v>
      </c>
      <c r="D38" s="12">
        <v>0</v>
      </c>
      <c r="E38" s="12">
        <v>500</v>
      </c>
      <c r="F38" s="12" t="s">
        <v>73</v>
      </c>
      <c r="G38" s="12">
        <v>1</v>
      </c>
      <c r="H38" s="12" t="s">
        <v>69</v>
      </c>
      <c r="I38" s="12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19796-439D-4218-8351-215451A32352}">
  <dimension ref="A1:I7"/>
  <sheetViews>
    <sheetView workbookViewId="0">
      <selection activeCell="C4" sqref="C4"/>
    </sheetView>
  </sheetViews>
  <sheetFormatPr defaultRowHeight="14.25" x14ac:dyDescent="0.2"/>
  <cols>
    <col min="1" max="1" width="21.625" style="2" customWidth="1"/>
    <col min="2" max="2" width="9.125" style="2"/>
    <col min="3" max="3" width="18.25" style="2" customWidth="1"/>
    <col min="4" max="5" width="13.375" style="2" customWidth="1"/>
    <col min="6" max="6" width="12.5" style="2" customWidth="1"/>
    <col min="7" max="7" width="19.125" style="2" customWidth="1"/>
    <col min="8" max="8" width="22.375" style="2" customWidth="1"/>
    <col min="9" max="9" width="13.375" style="5" customWidth="1"/>
  </cols>
  <sheetData>
    <row r="1" spans="1:9" x14ac:dyDescent="0.2">
      <c r="A1" s="1" t="s">
        <v>0</v>
      </c>
      <c r="B1" s="1" t="s">
        <v>1</v>
      </c>
      <c r="C1" s="1" t="s">
        <v>3</v>
      </c>
      <c r="D1" s="1" t="s">
        <v>8</v>
      </c>
      <c r="E1" s="1" t="s">
        <v>9</v>
      </c>
      <c r="F1" s="1" t="s">
        <v>4</v>
      </c>
      <c r="G1" s="1" t="s">
        <v>5</v>
      </c>
      <c r="H1" s="1" t="s">
        <v>7</v>
      </c>
      <c r="I1" s="1" t="s">
        <v>49</v>
      </c>
    </row>
    <row r="2" spans="1:9" x14ac:dyDescent="0.2">
      <c r="A2" s="2" t="s">
        <v>22</v>
      </c>
      <c r="B2" s="2" t="s">
        <v>10</v>
      </c>
      <c r="C2" s="2">
        <f>ROUND(1/C5,10)</f>
        <v>2.0800000000000001E-8</v>
      </c>
      <c r="D2" s="2">
        <v>0</v>
      </c>
      <c r="E2" s="2">
        <v>1</v>
      </c>
      <c r="F2" s="4" t="s">
        <v>73</v>
      </c>
      <c r="H2" s="2" t="s">
        <v>25</v>
      </c>
    </row>
    <row r="3" spans="1:9" x14ac:dyDescent="0.2">
      <c r="A3" s="2" t="s">
        <v>23</v>
      </c>
      <c r="B3" s="2" t="s">
        <v>10</v>
      </c>
      <c r="C3" s="2">
        <f>ROUND(C5/C6,0)*仿真基础步长</f>
        <v>6.2399999999999999E-5</v>
      </c>
      <c r="D3" s="2">
        <v>0</v>
      </c>
      <c r="E3" s="2">
        <v>1</v>
      </c>
      <c r="F3" s="4" t="s">
        <v>73</v>
      </c>
      <c r="H3" s="2" t="s">
        <v>26</v>
      </c>
    </row>
    <row r="4" spans="1:9" x14ac:dyDescent="0.2">
      <c r="A4" s="2" t="s">
        <v>24</v>
      </c>
      <c r="B4" s="2" t="s">
        <v>10</v>
      </c>
      <c r="C4" s="2">
        <f>ROUND(C6/C7,0)*高频任务步长</f>
        <v>1.9968E-3</v>
      </c>
      <c r="D4" s="2">
        <v>0</v>
      </c>
      <c r="E4" s="2">
        <v>1</v>
      </c>
      <c r="F4" s="4" t="s">
        <v>73</v>
      </c>
      <c r="H4" s="2" t="s">
        <v>27</v>
      </c>
    </row>
    <row r="5" spans="1:9" x14ac:dyDescent="0.2">
      <c r="A5" s="2" t="s">
        <v>232</v>
      </c>
      <c r="B5" s="2" t="s">
        <v>10</v>
      </c>
      <c r="C5" s="2">
        <v>48000000</v>
      </c>
      <c r="D5" s="2">
        <v>0</v>
      </c>
      <c r="E5" s="2">
        <v>1</v>
      </c>
      <c r="F5" s="4" t="s">
        <v>73</v>
      </c>
      <c r="H5" s="2" t="s">
        <v>25</v>
      </c>
    </row>
    <row r="6" spans="1:9" x14ac:dyDescent="0.2">
      <c r="A6" s="2" t="s">
        <v>233</v>
      </c>
      <c r="B6" s="2" t="s">
        <v>10</v>
      </c>
      <c r="C6" s="2">
        <v>16000</v>
      </c>
      <c r="D6" s="2">
        <v>0</v>
      </c>
      <c r="E6" s="2">
        <v>1</v>
      </c>
      <c r="F6" s="4" t="s">
        <v>73</v>
      </c>
      <c r="H6" s="2" t="s">
        <v>26</v>
      </c>
    </row>
    <row r="7" spans="1:9" x14ac:dyDescent="0.2">
      <c r="A7" s="2" t="s">
        <v>234</v>
      </c>
      <c r="B7" s="2" t="s">
        <v>10</v>
      </c>
      <c r="C7" s="2">
        <v>500</v>
      </c>
      <c r="D7" s="2">
        <v>0</v>
      </c>
      <c r="E7" s="2">
        <v>1</v>
      </c>
      <c r="F7" s="4" t="s">
        <v>73</v>
      </c>
      <c r="H7" s="2" t="s">
        <v>27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44938-6B5D-40C1-8F40-515C706BD968}">
  <dimension ref="A1:J63"/>
  <sheetViews>
    <sheetView topLeftCell="A49" workbookViewId="0">
      <selection activeCell="M26" sqref="M26"/>
    </sheetView>
  </sheetViews>
  <sheetFormatPr defaultRowHeight="14.25" x14ac:dyDescent="0.2"/>
  <cols>
    <col min="1" max="1" width="28.25" style="4" customWidth="1"/>
    <col min="2" max="2" width="15.75" style="4" customWidth="1"/>
    <col min="3" max="3" width="10.25" style="4" customWidth="1"/>
    <col min="4" max="5" width="13.375" style="4" customWidth="1"/>
    <col min="6" max="6" width="12.5" style="4" customWidth="1"/>
    <col min="7" max="7" width="19.125" style="4" customWidth="1"/>
    <col min="8" max="8" width="13.375" style="4" customWidth="1"/>
    <col min="9" max="9" width="13.375" style="7" customWidth="1"/>
  </cols>
  <sheetData>
    <row r="1" spans="1:9" x14ac:dyDescent="0.2">
      <c r="A1" s="6" t="s">
        <v>0</v>
      </c>
      <c r="B1" s="6" t="s">
        <v>1</v>
      </c>
      <c r="C1" s="6" t="s">
        <v>3</v>
      </c>
      <c r="D1" s="6" t="s">
        <v>8</v>
      </c>
      <c r="E1" s="6" t="s">
        <v>9</v>
      </c>
      <c r="F1" s="6" t="s">
        <v>4</v>
      </c>
      <c r="G1" s="6" t="s">
        <v>5</v>
      </c>
      <c r="H1" s="6" t="s">
        <v>7</v>
      </c>
      <c r="I1" s="6" t="s">
        <v>49</v>
      </c>
    </row>
    <row r="2" spans="1:9" x14ac:dyDescent="0.2">
      <c r="A2" s="8" t="s">
        <v>105</v>
      </c>
      <c r="B2" s="8" t="s">
        <v>28</v>
      </c>
      <c r="C2" s="8">
        <f>PI()/30</f>
        <v>0.10471975511965977</v>
      </c>
      <c r="D2" s="8">
        <v>0</v>
      </c>
      <c r="E2" s="8">
        <v>500</v>
      </c>
      <c r="F2" s="8" t="s">
        <v>73</v>
      </c>
      <c r="G2" s="8"/>
      <c r="H2" s="8" t="s">
        <v>136</v>
      </c>
      <c r="I2" s="18" t="s">
        <v>148</v>
      </c>
    </row>
    <row r="3" spans="1:9" x14ac:dyDescent="0.2">
      <c r="A3" s="8" t="s">
        <v>106</v>
      </c>
      <c r="B3" s="8" t="s">
        <v>28</v>
      </c>
      <c r="C3" s="8">
        <f>30/PI()</f>
        <v>9.5492965855137211</v>
      </c>
      <c r="D3" s="8">
        <v>0</v>
      </c>
      <c r="E3" s="8">
        <v>500</v>
      </c>
      <c r="F3" s="8" t="s">
        <v>73</v>
      </c>
      <c r="G3" s="8"/>
      <c r="H3" s="8" t="s">
        <v>137</v>
      </c>
      <c r="I3" s="19"/>
    </row>
    <row r="4" spans="1:9" x14ac:dyDescent="0.2">
      <c r="A4" s="8" t="s">
        <v>159</v>
      </c>
      <c r="B4" s="8" t="s">
        <v>28</v>
      </c>
      <c r="C4" s="8">
        <f>高频任务步长</f>
        <v>6.2399999999999999E-5</v>
      </c>
      <c r="D4" s="8">
        <v>0</v>
      </c>
      <c r="E4" s="8">
        <v>500</v>
      </c>
      <c r="F4" s="8" t="s">
        <v>73</v>
      </c>
      <c r="G4" s="8"/>
      <c r="H4" s="8" t="s">
        <v>162</v>
      </c>
      <c r="I4" s="19"/>
    </row>
    <row r="5" spans="1:9" x14ac:dyDescent="0.2">
      <c r="A5" s="8" t="s">
        <v>186</v>
      </c>
      <c r="B5" s="8" t="s">
        <v>28</v>
      </c>
      <c r="C5" s="8">
        <f>Input!C32/(2^Input!C31*Input!C29*Input!C35)</f>
        <v>500</v>
      </c>
      <c r="D5" s="8">
        <v>0</v>
      </c>
      <c r="E5" s="8">
        <v>100000000</v>
      </c>
      <c r="F5" s="8" t="s">
        <v>73</v>
      </c>
      <c r="G5" s="8"/>
      <c r="H5" s="8" t="s">
        <v>162</v>
      </c>
      <c r="I5" s="19"/>
    </row>
    <row r="6" spans="1:9" x14ac:dyDescent="0.2">
      <c r="A6" s="8" t="s">
        <v>160</v>
      </c>
      <c r="B6" s="8" t="s">
        <v>28</v>
      </c>
      <c r="C6" s="8">
        <v>0</v>
      </c>
      <c r="D6" s="8">
        <v>0</v>
      </c>
      <c r="E6" s="8">
        <v>0</v>
      </c>
      <c r="F6" s="8" t="s">
        <v>73</v>
      </c>
      <c r="G6" s="8"/>
      <c r="H6" s="8" t="s">
        <v>161</v>
      </c>
      <c r="I6" s="20"/>
    </row>
    <row r="7" spans="1:9" x14ac:dyDescent="0.2">
      <c r="A7" s="9" t="s">
        <v>89</v>
      </c>
      <c r="B7" s="9" t="s">
        <v>28</v>
      </c>
      <c r="C7" s="9">
        <v>5</v>
      </c>
      <c r="D7" s="9">
        <v>0</v>
      </c>
      <c r="E7" s="9">
        <v>500</v>
      </c>
      <c r="F7" s="9" t="s">
        <v>73</v>
      </c>
      <c r="G7" s="9"/>
      <c r="H7" s="9" t="s">
        <v>90</v>
      </c>
      <c r="I7" s="15" t="s">
        <v>149</v>
      </c>
    </row>
    <row r="8" spans="1:9" x14ac:dyDescent="0.2">
      <c r="A8" s="9" t="s">
        <v>93</v>
      </c>
      <c r="B8" s="9" t="s">
        <v>28</v>
      </c>
      <c r="C8" s="9">
        <f>转速环带宽*2*PI()*电机转动惯量/(1.5*电机转子磁链*电机转子极对数)</f>
        <v>9.1114109857344836</v>
      </c>
      <c r="D8" s="9">
        <v>0</v>
      </c>
      <c r="E8" s="9">
        <v>1000000000</v>
      </c>
      <c r="F8" s="9" t="s">
        <v>73</v>
      </c>
      <c r="G8" s="9"/>
      <c r="H8" s="9" t="s">
        <v>95</v>
      </c>
      <c r="I8" s="16"/>
    </row>
    <row r="9" spans="1:9" x14ac:dyDescent="0.2">
      <c r="A9" s="9" t="s">
        <v>94</v>
      </c>
      <c r="B9" s="9" t="s">
        <v>28</v>
      </c>
      <c r="C9" s="9">
        <f>转速环Kp*转速环带宽*2*PI()*中频任务步长</f>
        <v>0.57157085739428382</v>
      </c>
      <c r="D9" s="9">
        <v>0</v>
      </c>
      <c r="E9" s="9">
        <v>1000000000</v>
      </c>
      <c r="F9" s="9" t="s">
        <v>73</v>
      </c>
      <c r="G9" s="9"/>
      <c r="H9" s="9" t="s">
        <v>96</v>
      </c>
      <c r="I9" s="16"/>
    </row>
    <row r="10" spans="1:9" x14ac:dyDescent="0.2">
      <c r="A10" s="9" t="s">
        <v>230</v>
      </c>
      <c r="B10" s="9" t="s">
        <v>28</v>
      </c>
      <c r="C10" s="9">
        <f>转速环带宽*2*PI()*电机转动惯量/(1.5*电机转子磁链*电机转子极对数)</f>
        <v>9.1114109857344836</v>
      </c>
      <c r="D10" s="9">
        <v>0</v>
      </c>
      <c r="E10" s="9">
        <v>1000000000</v>
      </c>
      <c r="F10" s="9" t="s">
        <v>73</v>
      </c>
      <c r="G10" s="9"/>
      <c r="H10" s="9" t="s">
        <v>95</v>
      </c>
      <c r="I10" s="16"/>
    </row>
    <row r="11" spans="1:9" x14ac:dyDescent="0.2">
      <c r="A11" s="9" t="s">
        <v>231</v>
      </c>
      <c r="B11" s="9" t="s">
        <v>28</v>
      </c>
      <c r="C11" s="9">
        <f>转速环Kp*转速环带宽*2*PI()*中频任务步长</f>
        <v>0.57157085739428382</v>
      </c>
      <c r="D11" s="9">
        <v>0</v>
      </c>
      <c r="E11" s="9">
        <v>1000000000</v>
      </c>
      <c r="F11" s="9" t="s">
        <v>73</v>
      </c>
      <c r="G11" s="9"/>
      <c r="H11" s="9" t="s">
        <v>96</v>
      </c>
      <c r="I11" s="16"/>
    </row>
    <row r="12" spans="1:9" ht="28.5" x14ac:dyDescent="0.2">
      <c r="A12" s="9" t="s">
        <v>170</v>
      </c>
      <c r="B12" s="9" t="s">
        <v>28</v>
      </c>
      <c r="C12" s="9">
        <v>60</v>
      </c>
      <c r="D12" s="9">
        <f t="shared" ref="D12:D13" si="0">-E12</f>
        <v>-80</v>
      </c>
      <c r="E12" s="9">
        <f>Input!C5</f>
        <v>80</v>
      </c>
      <c r="F12" s="9" t="s">
        <v>73</v>
      </c>
      <c r="G12" s="9"/>
      <c r="H12" s="9" t="s">
        <v>172</v>
      </c>
      <c r="I12" s="16"/>
    </row>
    <row r="13" spans="1:9" ht="28.5" x14ac:dyDescent="0.2">
      <c r="A13" s="9" t="s">
        <v>171</v>
      </c>
      <c r="B13" s="9" t="s">
        <v>28</v>
      </c>
      <c r="C13" s="9">
        <v>-60</v>
      </c>
      <c r="D13" s="9">
        <f t="shared" si="0"/>
        <v>-80</v>
      </c>
      <c r="E13" s="9">
        <f>Input!C5</f>
        <v>80</v>
      </c>
      <c r="F13" s="9" t="s">
        <v>73</v>
      </c>
      <c r="G13" s="9"/>
      <c r="H13" s="9" t="s">
        <v>173</v>
      </c>
      <c r="I13" s="16"/>
    </row>
    <row r="14" spans="1:9" ht="28.5" x14ac:dyDescent="0.2">
      <c r="A14" s="9" t="s">
        <v>167</v>
      </c>
      <c r="B14" s="9" t="s">
        <v>28</v>
      </c>
      <c r="C14" s="9">
        <v>60</v>
      </c>
      <c r="D14" s="9">
        <f>-E14</f>
        <v>-80</v>
      </c>
      <c r="E14" s="9">
        <f>Input!C5</f>
        <v>80</v>
      </c>
      <c r="F14" s="9" t="s">
        <v>73</v>
      </c>
      <c r="G14" s="9"/>
      <c r="H14" s="9" t="s">
        <v>169</v>
      </c>
      <c r="I14" s="16"/>
    </row>
    <row r="15" spans="1:9" ht="28.5" x14ac:dyDescent="0.2">
      <c r="A15" s="9" t="s">
        <v>168</v>
      </c>
      <c r="B15" s="9" t="s">
        <v>28</v>
      </c>
      <c r="C15" s="9">
        <v>-60</v>
      </c>
      <c r="D15" s="9">
        <f t="shared" ref="D15" si="1">-E15</f>
        <v>-80</v>
      </c>
      <c r="E15" s="9">
        <f>Input!C5</f>
        <v>80</v>
      </c>
      <c r="F15" s="9" t="s">
        <v>73</v>
      </c>
      <c r="G15" s="9"/>
      <c r="H15" s="9" t="s">
        <v>174</v>
      </c>
      <c r="I15" s="17"/>
    </row>
    <row r="16" spans="1:9" x14ac:dyDescent="0.2">
      <c r="A16" s="8" t="s">
        <v>91</v>
      </c>
      <c r="B16" s="8" t="s">
        <v>28</v>
      </c>
      <c r="C16" s="8">
        <v>800</v>
      </c>
      <c r="D16" s="8">
        <v>0</v>
      </c>
      <c r="E16" s="8">
        <v>1000000000</v>
      </c>
      <c r="F16" s="8" t="s">
        <v>73</v>
      </c>
      <c r="G16" s="8"/>
      <c r="H16" s="8" t="s">
        <v>92</v>
      </c>
      <c r="I16" s="18" t="s">
        <v>150</v>
      </c>
    </row>
    <row r="17" spans="1:9" x14ac:dyDescent="0.2">
      <c r="A17" s="8" t="s">
        <v>97</v>
      </c>
      <c r="B17" s="8" t="s">
        <v>28</v>
      </c>
      <c r="C17" s="8" cm="1">
        <f t="array" ref="C17">电流环带宽*2*PI()*电机定子Q轴电感</f>
        <v>0.28322086090642701</v>
      </c>
      <c r="D17" s="8">
        <v>0</v>
      </c>
      <c r="E17" s="8">
        <v>1000000000</v>
      </c>
      <c r="F17" s="8" t="s">
        <v>73</v>
      </c>
      <c r="G17" s="8"/>
      <c r="H17" s="8" t="s">
        <v>99</v>
      </c>
      <c r="I17" s="19"/>
    </row>
    <row r="18" spans="1:9" x14ac:dyDescent="0.2">
      <c r="A18" s="8" t="s">
        <v>98</v>
      </c>
      <c r="B18" s="8" t="s">
        <v>28</v>
      </c>
      <c r="C18" s="8">
        <f>电流环带宽*2*PI()*电机定子相电阻*高频任务步长</f>
        <v>8.9705790612839825E-3</v>
      </c>
      <c r="D18" s="8">
        <v>0</v>
      </c>
      <c r="E18" s="8">
        <v>1000000000</v>
      </c>
      <c r="F18" s="8" t="s">
        <v>73</v>
      </c>
      <c r="G18" s="8"/>
      <c r="H18" s="8" t="s">
        <v>100</v>
      </c>
      <c r="I18" s="19"/>
    </row>
    <row r="19" spans="1:9" ht="28.5" x14ac:dyDescent="0.2">
      <c r="A19" s="8" t="s">
        <v>108</v>
      </c>
      <c r="B19" s="8" t="s">
        <v>28</v>
      </c>
      <c r="C19" s="8">
        <v>1</v>
      </c>
      <c r="D19" s="8">
        <v>0</v>
      </c>
      <c r="E19" s="8">
        <v>500</v>
      </c>
      <c r="F19" s="8" t="s">
        <v>73</v>
      </c>
      <c r="G19" s="8"/>
      <c r="H19" s="8" t="s">
        <v>109</v>
      </c>
      <c r="I19" s="19"/>
    </row>
    <row r="20" spans="1:9" ht="28.5" x14ac:dyDescent="0.2">
      <c r="A20" s="8" t="s">
        <v>118</v>
      </c>
      <c r="B20" s="8" t="s">
        <v>28</v>
      </c>
      <c r="C20" s="8">
        <v>0</v>
      </c>
      <c r="D20" s="8">
        <v>0</v>
      </c>
      <c r="E20" s="8">
        <v>13.5</v>
      </c>
      <c r="F20" s="8" t="s">
        <v>73</v>
      </c>
      <c r="G20" s="8"/>
      <c r="H20" s="8" t="s">
        <v>120</v>
      </c>
      <c r="I20" s="19"/>
    </row>
    <row r="21" spans="1:9" ht="28.5" x14ac:dyDescent="0.2">
      <c r="A21" s="8" t="s">
        <v>111</v>
      </c>
      <c r="B21" s="8" t="s">
        <v>28</v>
      </c>
      <c r="C21" s="8">
        <f xml:space="preserve"> 电机额定电压/SQRT(3)</f>
        <v>7.794228634059948</v>
      </c>
      <c r="D21" s="8">
        <v>0</v>
      </c>
      <c r="E21" s="8">
        <v>13.5</v>
      </c>
      <c r="F21" s="8" t="s">
        <v>73</v>
      </c>
      <c r="G21" s="8"/>
      <c r="H21" s="8" t="s">
        <v>121</v>
      </c>
      <c r="I21" s="19"/>
    </row>
    <row r="22" spans="1:9" ht="28.5" x14ac:dyDescent="0.2">
      <c r="A22" s="8" t="s">
        <v>112</v>
      </c>
      <c r="B22" s="8" t="s">
        <v>28</v>
      </c>
      <c r="C22" s="8">
        <f xml:space="preserve"> -电机额定电压/SQRT(3)</f>
        <v>-7.794228634059948</v>
      </c>
      <c r="D22" s="8">
        <v>-13.5</v>
      </c>
      <c r="E22" s="8">
        <v>13.5</v>
      </c>
      <c r="F22" s="8" t="s">
        <v>73</v>
      </c>
      <c r="G22" s="8"/>
      <c r="H22" s="8" t="s">
        <v>122</v>
      </c>
      <c r="I22" s="19"/>
    </row>
    <row r="23" spans="1:9" ht="28.5" x14ac:dyDescent="0.2">
      <c r="A23" s="8" t="s">
        <v>110</v>
      </c>
      <c r="B23" s="8" t="s">
        <v>28</v>
      </c>
      <c r="C23" s="8">
        <f xml:space="preserve"> 电机额定电压/SQRT(3)</f>
        <v>7.794228634059948</v>
      </c>
      <c r="D23" s="8">
        <v>0</v>
      </c>
      <c r="E23" s="8">
        <v>13.5</v>
      </c>
      <c r="F23" s="8" t="s">
        <v>73</v>
      </c>
      <c r="G23" s="8"/>
      <c r="H23" s="8" t="s">
        <v>124</v>
      </c>
      <c r="I23" s="19"/>
    </row>
    <row r="24" spans="1:9" ht="28.5" x14ac:dyDescent="0.2">
      <c r="A24" s="8" t="s">
        <v>113</v>
      </c>
      <c r="B24" s="8" t="s">
        <v>28</v>
      </c>
      <c r="C24" s="8">
        <f xml:space="preserve"> -电机额定电压/SQRT(3)</f>
        <v>-7.794228634059948</v>
      </c>
      <c r="D24" s="8">
        <v>-13.5</v>
      </c>
      <c r="E24" s="8">
        <v>13.5</v>
      </c>
      <c r="F24" s="8" t="s">
        <v>73</v>
      </c>
      <c r="G24" s="8"/>
      <c r="H24" s="8" t="s">
        <v>123</v>
      </c>
      <c r="I24" s="19"/>
    </row>
    <row r="25" spans="1:9" ht="28.5" x14ac:dyDescent="0.2">
      <c r="A25" s="8" t="s">
        <v>119</v>
      </c>
      <c r="B25" s="8" t="s">
        <v>28</v>
      </c>
      <c r="C25" s="8">
        <v>0</v>
      </c>
      <c r="D25" s="8">
        <v>0</v>
      </c>
      <c r="E25" s="8">
        <v>13.5</v>
      </c>
      <c r="F25" s="8" t="s">
        <v>73</v>
      </c>
      <c r="G25" s="8"/>
      <c r="H25" s="8" t="s">
        <v>125</v>
      </c>
      <c r="I25" s="19"/>
    </row>
    <row r="26" spans="1:9" ht="28.5" x14ac:dyDescent="0.2">
      <c r="A26" s="8" t="s">
        <v>114</v>
      </c>
      <c r="B26" s="8" t="s">
        <v>28</v>
      </c>
      <c r="C26" s="8">
        <f xml:space="preserve"> 电机额定电压/SQRT(3)</f>
        <v>7.794228634059948</v>
      </c>
      <c r="D26" s="8">
        <v>0</v>
      </c>
      <c r="E26" s="8">
        <v>13.5</v>
      </c>
      <c r="F26" s="8" t="s">
        <v>73</v>
      </c>
      <c r="G26" s="8"/>
      <c r="H26" s="8" t="s">
        <v>126</v>
      </c>
      <c r="I26" s="19"/>
    </row>
    <row r="27" spans="1:9" ht="28.5" x14ac:dyDescent="0.2">
      <c r="A27" s="8" t="s">
        <v>115</v>
      </c>
      <c r="B27" s="8" t="s">
        <v>28</v>
      </c>
      <c r="C27" s="8">
        <f xml:space="preserve"> -电机额定电压/SQRT(3)</f>
        <v>-7.794228634059948</v>
      </c>
      <c r="D27" s="8">
        <v>-13.5</v>
      </c>
      <c r="E27" s="8">
        <v>13.5</v>
      </c>
      <c r="F27" s="8" t="s">
        <v>73</v>
      </c>
      <c r="G27" s="8"/>
      <c r="H27" s="8" t="s">
        <v>127</v>
      </c>
      <c r="I27" s="19"/>
    </row>
    <row r="28" spans="1:9" ht="28.5" x14ac:dyDescent="0.2">
      <c r="A28" s="8" t="s">
        <v>116</v>
      </c>
      <c r="B28" s="8" t="s">
        <v>28</v>
      </c>
      <c r="C28" s="8">
        <f xml:space="preserve"> 电机额定电压/SQRT(3)</f>
        <v>7.794228634059948</v>
      </c>
      <c r="D28" s="8">
        <v>0</v>
      </c>
      <c r="E28" s="8">
        <v>13.5</v>
      </c>
      <c r="F28" s="8" t="s">
        <v>73</v>
      </c>
      <c r="G28" s="8"/>
      <c r="H28" s="8" t="s">
        <v>128</v>
      </c>
      <c r="I28" s="19"/>
    </row>
    <row r="29" spans="1:9" ht="28.5" x14ac:dyDescent="0.2">
      <c r="A29" s="8" t="s">
        <v>117</v>
      </c>
      <c r="B29" s="8" t="s">
        <v>28</v>
      </c>
      <c r="C29" s="8">
        <f xml:space="preserve"> -电机额定电压/SQRT(3)</f>
        <v>-7.794228634059948</v>
      </c>
      <c r="D29" s="8">
        <v>-13.5</v>
      </c>
      <c r="E29" s="8">
        <v>13.5</v>
      </c>
      <c r="F29" s="8" t="s">
        <v>73</v>
      </c>
      <c r="G29" s="8"/>
      <c r="H29" s="8" t="s">
        <v>129</v>
      </c>
      <c r="I29" s="19"/>
    </row>
    <row r="30" spans="1:9" ht="28.5" x14ac:dyDescent="0.2">
      <c r="A30" s="8" t="s">
        <v>235</v>
      </c>
      <c r="B30" s="8" t="s">
        <v>28</v>
      </c>
      <c r="C30" s="8">
        <f>1*2*PI()</f>
        <v>6.2831853071795862</v>
      </c>
      <c r="D30" s="8">
        <v>0</v>
      </c>
      <c r="E30" s="8">
        <f>电流环带宽*2*PI()</f>
        <v>5026.5482457436692</v>
      </c>
      <c r="F30" s="8" t="s">
        <v>73</v>
      </c>
      <c r="G30" s="8"/>
      <c r="H30" s="8" t="s">
        <v>236</v>
      </c>
      <c r="I30" s="19"/>
    </row>
    <row r="31" spans="1:9" ht="28.5" x14ac:dyDescent="0.2">
      <c r="A31" s="8" t="s">
        <v>237</v>
      </c>
      <c r="B31" s="8" t="s">
        <v>28</v>
      </c>
      <c r="C31" s="8">
        <f>1*2*PI()</f>
        <v>6.2831853071795862</v>
      </c>
      <c r="D31" s="8">
        <v>0</v>
      </c>
      <c r="E31" s="8">
        <f>电流环带宽*2*PI()</f>
        <v>5026.5482457436692</v>
      </c>
      <c r="F31" s="8" t="s">
        <v>73</v>
      </c>
      <c r="G31" s="8"/>
      <c r="H31" s="8" t="s">
        <v>238</v>
      </c>
      <c r="I31" s="19"/>
    </row>
    <row r="32" spans="1:9" x14ac:dyDescent="0.2">
      <c r="A32" s="9" t="s">
        <v>101</v>
      </c>
      <c r="B32" s="9" t="s">
        <v>28</v>
      </c>
      <c r="C32" s="9">
        <f>1 - (高频任务步长*电机定子相电阻/电机定子Q轴电感)</f>
        <v>0.96832655958825098</v>
      </c>
      <c r="D32" s="9">
        <v>0</v>
      </c>
      <c r="E32" s="9">
        <v>500</v>
      </c>
      <c r="F32" s="9" t="s">
        <v>73</v>
      </c>
      <c r="G32" s="9"/>
      <c r="H32" s="9" t="s">
        <v>153</v>
      </c>
      <c r="I32" s="15" t="s">
        <v>151</v>
      </c>
    </row>
    <row r="33" spans="1:10" x14ac:dyDescent="0.2">
      <c r="A33" s="9" t="s">
        <v>102</v>
      </c>
      <c r="B33" s="9" t="s">
        <v>28</v>
      </c>
      <c r="C33" s="9">
        <f xml:space="preserve"> 高频任务步长/电机定子Q轴电感</f>
        <v>1.1074629514597569</v>
      </c>
      <c r="D33" s="9">
        <v>0</v>
      </c>
      <c r="E33" s="9">
        <v>500</v>
      </c>
      <c r="F33" s="9" t="s">
        <v>73</v>
      </c>
      <c r="G33" s="9"/>
      <c r="H33" s="9" t="s">
        <v>154</v>
      </c>
      <c r="I33" s="16"/>
    </row>
    <row r="34" spans="1:10" ht="28.5" x14ac:dyDescent="0.2">
      <c r="A34" s="9" t="s">
        <v>155</v>
      </c>
      <c r="B34" s="9" t="s">
        <v>28</v>
      </c>
      <c r="C34" s="9">
        <v>2</v>
      </c>
      <c r="D34" s="9">
        <v>0</v>
      </c>
      <c r="E34" s="9">
        <v>500</v>
      </c>
      <c r="F34" s="9" t="s">
        <v>73</v>
      </c>
      <c r="G34" s="9"/>
      <c r="H34" s="9" t="s">
        <v>157</v>
      </c>
      <c r="I34" s="16"/>
    </row>
    <row r="35" spans="1:10" ht="28.5" x14ac:dyDescent="0.2">
      <c r="A35" s="10" t="s">
        <v>156</v>
      </c>
      <c r="B35" s="10" t="s">
        <v>28</v>
      </c>
      <c r="C35" s="10">
        <v>-2</v>
      </c>
      <c r="D35" s="10">
        <v>-500</v>
      </c>
      <c r="E35" s="10">
        <v>0</v>
      </c>
      <c r="F35" s="10" t="s">
        <v>73</v>
      </c>
      <c r="G35" s="10"/>
      <c r="H35" s="10" t="s">
        <v>158</v>
      </c>
      <c r="I35" s="16"/>
    </row>
    <row r="36" spans="1:10" ht="28.5" x14ac:dyDescent="0.2">
      <c r="A36" s="8" t="s">
        <v>165</v>
      </c>
      <c r="B36" s="8" t="s">
        <v>28</v>
      </c>
      <c r="C36" s="8">
        <v>750000</v>
      </c>
      <c r="D36" s="8">
        <v>0</v>
      </c>
      <c r="E36" s="8">
        <v>1E+36</v>
      </c>
      <c r="F36" s="8" t="s">
        <v>73</v>
      </c>
      <c r="G36" s="8"/>
      <c r="H36" s="8" t="s">
        <v>166</v>
      </c>
      <c r="I36" s="18" t="s">
        <v>164</v>
      </c>
    </row>
    <row r="37" spans="1:10" ht="28.5" x14ac:dyDescent="0.2">
      <c r="A37" s="8" t="s">
        <v>192</v>
      </c>
      <c r="B37" s="8" t="s">
        <v>28</v>
      </c>
      <c r="C37" s="8">
        <f>电机定子相电阻</f>
        <v>2.86E-2</v>
      </c>
      <c r="D37" s="8">
        <v>0</v>
      </c>
      <c r="E37" s="8">
        <v>1</v>
      </c>
      <c r="F37" s="8" t="s">
        <v>73</v>
      </c>
      <c r="G37" s="8"/>
      <c r="H37" s="8" t="s">
        <v>194</v>
      </c>
      <c r="I37" s="19"/>
    </row>
    <row r="38" spans="1:10" ht="28.5" x14ac:dyDescent="0.2">
      <c r="A38" s="8" t="s">
        <v>193</v>
      </c>
      <c r="B38" s="8" t="s">
        <v>28</v>
      </c>
      <c r="C38" s="8">
        <f>电机定子相电阻</f>
        <v>2.86E-2</v>
      </c>
      <c r="D38" s="8">
        <v>0</v>
      </c>
      <c r="E38" s="8">
        <v>1</v>
      </c>
      <c r="F38" s="8" t="s">
        <v>73</v>
      </c>
      <c r="G38" s="8"/>
      <c r="H38" s="8" t="s">
        <v>195</v>
      </c>
      <c r="I38" s="19"/>
    </row>
    <row r="39" spans="1:10" ht="28.5" x14ac:dyDescent="0.2">
      <c r="A39" s="8" t="s">
        <v>190</v>
      </c>
      <c r="B39" s="8" t="s">
        <v>28</v>
      </c>
      <c r="C39" s="8">
        <f>Input!C20</f>
        <v>5.6344999999999997E-5</v>
      </c>
      <c r="D39" s="8">
        <v>0</v>
      </c>
      <c r="E39" s="8">
        <v>1</v>
      </c>
      <c r="F39" s="8" t="s">
        <v>73</v>
      </c>
      <c r="G39" s="8"/>
      <c r="H39" s="8" t="s">
        <v>196</v>
      </c>
      <c r="I39" s="19"/>
    </row>
    <row r="40" spans="1:10" ht="28.5" x14ac:dyDescent="0.2">
      <c r="A40" s="8" t="s">
        <v>191</v>
      </c>
      <c r="B40" s="8" t="s">
        <v>28</v>
      </c>
      <c r="C40" s="8">
        <f>Input!C21</f>
        <v>5.6344999999999997E-5</v>
      </c>
      <c r="D40" s="8">
        <v>0</v>
      </c>
      <c r="E40" s="8">
        <v>1</v>
      </c>
      <c r="F40" s="8" t="s">
        <v>73</v>
      </c>
      <c r="G40" s="8"/>
      <c r="H40" s="8" t="s">
        <v>197</v>
      </c>
      <c r="I40" s="20"/>
    </row>
    <row r="41" spans="1:10" ht="28.5" customHeight="1" x14ac:dyDescent="0.2">
      <c r="A41" s="9" t="s">
        <v>200</v>
      </c>
      <c r="B41" s="9" t="s">
        <v>28</v>
      </c>
      <c r="C41" s="9">
        <f>-电机定子相电阻/Input!C20</f>
        <v>-507.58718608572195</v>
      </c>
      <c r="D41" s="9">
        <v>-1E+36</v>
      </c>
      <c r="E41" s="9">
        <v>1E+36</v>
      </c>
      <c r="F41" s="9" t="s">
        <v>73</v>
      </c>
      <c r="G41" s="9"/>
      <c r="H41" s="9" t="s">
        <v>203</v>
      </c>
      <c r="I41" s="15" t="s">
        <v>198</v>
      </c>
    </row>
    <row r="42" spans="1:10" ht="28.5" x14ac:dyDescent="0.2">
      <c r="A42" s="9" t="s">
        <v>199</v>
      </c>
      <c r="B42" s="9" t="s">
        <v>28</v>
      </c>
      <c r="C42" s="9">
        <f>-电机定子相电阻/Input!C21</f>
        <v>-507.58718608572195</v>
      </c>
      <c r="D42" s="9">
        <v>-1E+36</v>
      </c>
      <c r="E42" s="9">
        <v>1E+36</v>
      </c>
      <c r="F42" s="9" t="s">
        <v>73</v>
      </c>
      <c r="G42" s="9"/>
      <c r="H42" s="9" t="s">
        <v>204</v>
      </c>
      <c r="I42" s="16"/>
    </row>
    <row r="43" spans="1:10" ht="28.5" x14ac:dyDescent="0.2">
      <c r="A43" s="9" t="s">
        <v>212</v>
      </c>
      <c r="B43" s="9" t="s">
        <v>28</v>
      </c>
      <c r="C43" s="9">
        <f>-1/Input!C20</f>
        <v>-17747.803709290976</v>
      </c>
      <c r="D43" s="9">
        <v>-1E+36</v>
      </c>
      <c r="E43" s="9">
        <v>1E+36</v>
      </c>
      <c r="F43" s="9" t="s">
        <v>73</v>
      </c>
      <c r="G43" s="9"/>
      <c r="H43" s="9" t="s">
        <v>205</v>
      </c>
      <c r="I43" s="16"/>
    </row>
    <row r="44" spans="1:10" ht="28.5" x14ac:dyDescent="0.2">
      <c r="A44" s="9" t="s">
        <v>213</v>
      </c>
      <c r="B44" s="9" t="s">
        <v>28</v>
      </c>
      <c r="C44" s="9">
        <f>-1/Input!C21</f>
        <v>-17747.803709290976</v>
      </c>
      <c r="D44" s="9">
        <v>-1E+36</v>
      </c>
      <c r="E44" s="9">
        <v>1E+36</v>
      </c>
      <c r="F44" s="9" t="s">
        <v>73</v>
      </c>
      <c r="G44" s="9"/>
      <c r="H44" s="9" t="s">
        <v>206</v>
      </c>
      <c r="I44" s="16"/>
    </row>
    <row r="45" spans="1:10" ht="28.5" x14ac:dyDescent="0.2">
      <c r="A45" s="9" t="s">
        <v>201</v>
      </c>
      <c r="B45" s="9" t="s">
        <v>28</v>
      </c>
      <c r="C45" s="9">
        <f>1/Input!C20</f>
        <v>17747.803709290976</v>
      </c>
      <c r="D45" s="9">
        <v>-1E+36</v>
      </c>
      <c r="E45" s="9">
        <v>1E+36</v>
      </c>
      <c r="F45" s="9" t="s">
        <v>73</v>
      </c>
      <c r="G45" s="9"/>
      <c r="H45" s="9" t="s">
        <v>207</v>
      </c>
      <c r="I45" s="16"/>
      <c r="J45" s="14">
        <f>电机定子相电阻/电机定子D轴电感</f>
        <v>507.58718608572195</v>
      </c>
    </row>
    <row r="46" spans="1:10" ht="28.5" x14ac:dyDescent="0.2">
      <c r="A46" s="9" t="s">
        <v>202</v>
      </c>
      <c r="B46" s="9" t="s">
        <v>28</v>
      </c>
      <c r="C46" s="9">
        <f>1/Input!C21</f>
        <v>17747.803709290976</v>
      </c>
      <c r="D46" s="9">
        <v>-1E+36</v>
      </c>
      <c r="E46" s="9">
        <v>1E+36</v>
      </c>
      <c r="F46" s="9" t="s">
        <v>73</v>
      </c>
      <c r="G46" s="9"/>
      <c r="H46" s="9" t="s">
        <v>208</v>
      </c>
      <c r="I46" s="16"/>
    </row>
    <row r="47" spans="1:10" ht="42.75" x14ac:dyDescent="0.2">
      <c r="A47" s="9" t="s">
        <v>211</v>
      </c>
      <c r="B47" s="9" t="s">
        <v>28</v>
      </c>
      <c r="C47" s="9">
        <v>400</v>
      </c>
      <c r="D47" s="9">
        <v>-1E+36</v>
      </c>
      <c r="E47" s="9">
        <v>1E+36</v>
      </c>
      <c r="F47" s="9" t="s">
        <v>73</v>
      </c>
      <c r="G47" s="9"/>
      <c r="H47" s="9" t="s">
        <v>209</v>
      </c>
      <c r="I47" s="16"/>
    </row>
    <row r="48" spans="1:10" ht="42.75" x14ac:dyDescent="0.2">
      <c r="A48" s="9" t="s">
        <v>214</v>
      </c>
      <c r="B48" s="9" t="s">
        <v>28</v>
      </c>
      <c r="C48" s="9">
        <v>10</v>
      </c>
      <c r="D48" s="9">
        <v>-1E+36</v>
      </c>
      <c r="E48" s="9">
        <v>1E+36</v>
      </c>
      <c r="F48" s="9" t="s">
        <v>73</v>
      </c>
      <c r="G48" s="9"/>
      <c r="H48" s="9" t="s">
        <v>210</v>
      </c>
      <c r="I48" s="17"/>
    </row>
    <row r="49" spans="1:9" ht="28.5" x14ac:dyDescent="0.2">
      <c r="A49" s="8" t="s">
        <v>107</v>
      </c>
      <c r="B49" s="8" t="s">
        <v>28</v>
      </c>
      <c r="C49" s="8">
        <v>50</v>
      </c>
      <c r="D49" s="8">
        <v>0</v>
      </c>
      <c r="E49" s="8">
        <v>1E+36</v>
      </c>
      <c r="F49" s="8" t="s">
        <v>73</v>
      </c>
      <c r="G49" s="8"/>
      <c r="H49" s="8" t="s">
        <v>218</v>
      </c>
      <c r="I49" s="18" t="s">
        <v>163</v>
      </c>
    </row>
    <row r="50" spans="1:9" ht="28.5" x14ac:dyDescent="0.2">
      <c r="A50" s="8" t="s">
        <v>103</v>
      </c>
      <c r="B50" s="8" t="s">
        <v>28</v>
      </c>
      <c r="C50" s="8">
        <f>2*1*滑膜观测器锁相环带宽*2*PI()</f>
        <v>628.31853071795865</v>
      </c>
      <c r="D50" s="8">
        <v>0</v>
      </c>
      <c r="E50" s="8">
        <v>1E+36</v>
      </c>
      <c r="F50" s="8" t="s">
        <v>73</v>
      </c>
      <c r="G50" s="8"/>
      <c r="H50" s="8" t="s">
        <v>219</v>
      </c>
      <c r="I50" s="19"/>
    </row>
    <row r="51" spans="1:9" ht="28.5" x14ac:dyDescent="0.2">
      <c r="A51" s="8" t="s">
        <v>104</v>
      </c>
      <c r="B51" s="8" t="s">
        <v>28</v>
      </c>
      <c r="C51" s="8">
        <f xml:space="preserve"> (2*PI()*滑膜观测器锁相环带宽)^2*高频任务步长</f>
        <v>6.1586331462797599</v>
      </c>
      <c r="D51" s="8">
        <v>0</v>
      </c>
      <c r="E51" s="8">
        <v>1E+36</v>
      </c>
      <c r="F51" s="8" t="s">
        <v>73</v>
      </c>
      <c r="G51" s="8"/>
      <c r="H51" s="8" t="s">
        <v>220</v>
      </c>
      <c r="I51" s="19"/>
    </row>
    <row r="52" spans="1:9" ht="28.5" x14ac:dyDescent="0.2">
      <c r="A52" s="8" t="s">
        <v>217</v>
      </c>
      <c r="B52" s="8" t="s">
        <v>28</v>
      </c>
      <c r="C52" s="8">
        <v>50</v>
      </c>
      <c r="D52" s="8">
        <v>0</v>
      </c>
      <c r="E52" s="8">
        <v>1E+36</v>
      </c>
      <c r="F52" s="8" t="s">
        <v>73</v>
      </c>
      <c r="G52" s="8"/>
      <c r="H52" s="8" t="s">
        <v>221</v>
      </c>
      <c r="I52" s="19"/>
    </row>
    <row r="53" spans="1:9" ht="28.5" x14ac:dyDescent="0.2">
      <c r="A53" s="8" t="s">
        <v>215</v>
      </c>
      <c r="B53" s="8" t="s">
        <v>28</v>
      </c>
      <c r="C53" s="8">
        <f>磁链观测器锁相环带宽*2*PI()/2.05</f>
        <v>153.24842212633141</v>
      </c>
      <c r="D53" s="8">
        <v>0</v>
      </c>
      <c r="E53" s="8">
        <v>1E+36</v>
      </c>
      <c r="F53" s="8" t="s">
        <v>73</v>
      </c>
      <c r="G53" s="8"/>
      <c r="H53" s="8" t="s">
        <v>222</v>
      </c>
      <c r="I53" s="19"/>
    </row>
    <row r="54" spans="1:9" ht="28.5" x14ac:dyDescent="0.2">
      <c r="A54" s="8" t="s">
        <v>216</v>
      </c>
      <c r="B54" s="8" t="s">
        <v>28</v>
      </c>
      <c r="C54" s="8">
        <f xml:space="preserve"> (0.6898*2*PI()*磁链观测器锁相环带宽)^2*高频任务步长</f>
        <v>2.9304257045407458</v>
      </c>
      <c r="D54" s="8">
        <v>0</v>
      </c>
      <c r="E54" s="8">
        <v>1E+36</v>
      </c>
      <c r="F54" s="8" t="s">
        <v>73</v>
      </c>
      <c r="G54" s="8"/>
      <c r="H54" s="8" t="s">
        <v>223</v>
      </c>
      <c r="I54" s="19"/>
    </row>
    <row r="55" spans="1:9" ht="28.5" x14ac:dyDescent="0.2">
      <c r="A55" s="8" t="s">
        <v>224</v>
      </c>
      <c r="B55" s="8" t="s">
        <v>28</v>
      </c>
      <c r="C55" s="8">
        <v>10</v>
      </c>
      <c r="D55" s="8">
        <v>0</v>
      </c>
      <c r="E55" s="8">
        <v>1E+36</v>
      </c>
      <c r="F55" s="8" t="s">
        <v>73</v>
      </c>
      <c r="G55" s="8"/>
      <c r="H55" s="8" t="s">
        <v>227</v>
      </c>
      <c r="I55" s="19"/>
    </row>
    <row r="56" spans="1:9" ht="28.5" x14ac:dyDescent="0.2">
      <c r="A56" s="8" t="s">
        <v>225</v>
      </c>
      <c r="B56" s="8" t="s">
        <v>28</v>
      </c>
      <c r="C56" s="8">
        <f>2*龙贝格观测器锁相环带宽*2*PI()/1</f>
        <v>125.66370614359172</v>
      </c>
      <c r="D56" s="8">
        <v>0</v>
      </c>
      <c r="E56" s="8">
        <v>1E+36</v>
      </c>
      <c r="F56" s="8" t="s">
        <v>73</v>
      </c>
      <c r="G56" s="8"/>
      <c r="H56" s="8" t="s">
        <v>228</v>
      </c>
      <c r="I56" s="19"/>
    </row>
    <row r="57" spans="1:9" ht="28.5" x14ac:dyDescent="0.2">
      <c r="A57" s="8" t="s">
        <v>226</v>
      </c>
      <c r="B57" s="8" t="s">
        <v>28</v>
      </c>
      <c r="C57" s="8">
        <f xml:space="preserve"> (1*2*PI()*龙贝格观测器锁相环带宽)^2*高频任务步长</f>
        <v>0.24634532585119037</v>
      </c>
      <c r="D57" s="8">
        <v>0</v>
      </c>
      <c r="E57" s="8">
        <v>1E+36</v>
      </c>
      <c r="F57" s="8" t="s">
        <v>73</v>
      </c>
      <c r="G57" s="8"/>
      <c r="H57" s="8" t="s">
        <v>229</v>
      </c>
      <c r="I57" s="20"/>
    </row>
    <row r="58" spans="1:9" ht="28.5" x14ac:dyDescent="0.2">
      <c r="A58" s="9" t="s">
        <v>85</v>
      </c>
      <c r="B58" s="9" t="s">
        <v>28</v>
      </c>
      <c r="C58" s="9">
        <v>0.98</v>
      </c>
      <c r="D58" s="9">
        <v>0</v>
      </c>
      <c r="E58" s="9">
        <v>1</v>
      </c>
      <c r="F58" s="9" t="s">
        <v>73</v>
      </c>
      <c r="G58" s="9"/>
      <c r="H58" s="9" t="s">
        <v>86</v>
      </c>
      <c r="I58" s="15" t="s">
        <v>152</v>
      </c>
    </row>
    <row r="59" spans="1:9" ht="28.5" x14ac:dyDescent="0.2">
      <c r="A59" s="9" t="s">
        <v>87</v>
      </c>
      <c r="B59" s="9" t="s">
        <v>28</v>
      </c>
      <c r="C59" s="9">
        <v>0.02</v>
      </c>
      <c r="D59" s="9">
        <v>0</v>
      </c>
      <c r="E59" s="9">
        <v>1</v>
      </c>
      <c r="F59" s="9" t="s">
        <v>73</v>
      </c>
      <c r="G59" s="9"/>
      <c r="H59" s="9" t="s">
        <v>88</v>
      </c>
      <c r="I59" s="16"/>
    </row>
    <row r="60" spans="1:9" ht="28.5" x14ac:dyDescent="0.2">
      <c r="A60" s="9" t="s">
        <v>176</v>
      </c>
      <c r="B60" s="9" t="s">
        <v>28</v>
      </c>
      <c r="C60" s="9">
        <f>Input!C36/高频任务步长</f>
        <v>9.6153846153846159E-3</v>
      </c>
      <c r="D60" s="9">
        <v>0</v>
      </c>
      <c r="E60" s="9">
        <v>1</v>
      </c>
      <c r="F60" s="9" t="s">
        <v>73</v>
      </c>
      <c r="G60" s="9"/>
      <c r="H60" s="9" t="s">
        <v>175</v>
      </c>
      <c r="I60" s="16"/>
    </row>
    <row r="61" spans="1:9" ht="28.5" x14ac:dyDescent="0.2">
      <c r="A61" s="9" t="s">
        <v>142</v>
      </c>
      <c r="B61" s="9" t="s">
        <v>28</v>
      </c>
      <c r="C61" s="9">
        <v>0.02</v>
      </c>
      <c r="D61" s="9">
        <v>0</v>
      </c>
      <c r="E61" s="9">
        <v>1</v>
      </c>
      <c r="F61" s="9" t="s">
        <v>73</v>
      </c>
      <c r="G61" s="9"/>
      <c r="H61" s="9" t="s">
        <v>143</v>
      </c>
      <c r="I61" s="16"/>
    </row>
    <row r="62" spans="1:9" ht="28.5" x14ac:dyDescent="0.2">
      <c r="A62" s="9" t="s">
        <v>144</v>
      </c>
      <c r="B62" s="9" t="s">
        <v>28</v>
      </c>
      <c r="C62" s="9">
        <v>1.4999999999999999E-2</v>
      </c>
      <c r="D62" s="9">
        <v>0</v>
      </c>
      <c r="E62" s="9">
        <v>1</v>
      </c>
      <c r="F62" s="9" t="s">
        <v>73</v>
      </c>
      <c r="G62" s="9"/>
      <c r="H62" s="9" t="s">
        <v>145</v>
      </c>
      <c r="I62" s="17"/>
    </row>
    <row r="63" spans="1:9" x14ac:dyDescent="0.2">
      <c r="C63" s="4" t="s">
        <v>177</v>
      </c>
    </row>
  </sheetData>
  <mergeCells count="8">
    <mergeCell ref="I7:I15"/>
    <mergeCell ref="I16:I31"/>
    <mergeCell ref="I58:I62"/>
    <mergeCell ref="I2:I6"/>
    <mergeCell ref="I32:I35"/>
    <mergeCell ref="I36:I40"/>
    <mergeCell ref="I41:I48"/>
    <mergeCell ref="I49:I57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E0796-AE15-466F-8ACC-98F71496990C}">
  <dimension ref="A1:J2"/>
  <sheetViews>
    <sheetView workbookViewId="0">
      <selection activeCell="H21" sqref="H21"/>
    </sheetView>
  </sheetViews>
  <sheetFormatPr defaultRowHeight="14.25" x14ac:dyDescent="0.2"/>
  <cols>
    <col min="1" max="1" width="13.625" style="2" customWidth="1"/>
    <col min="2" max="2" width="9.125" style="2"/>
    <col min="3" max="3" width="13" style="2" customWidth="1"/>
    <col min="4" max="4" width="10.25" style="2" customWidth="1"/>
    <col min="5" max="6" width="13.375" style="2" customWidth="1"/>
    <col min="7" max="7" width="12.5" style="2" customWidth="1"/>
    <col min="8" max="8" width="19.125" style="2" customWidth="1"/>
    <col min="9" max="9" width="12.25" style="2" customWidth="1"/>
    <col min="10" max="10" width="13.375" style="2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9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">
      <c r="A2" s="2" t="s">
        <v>11</v>
      </c>
      <c r="B2" s="2" t="s">
        <v>10</v>
      </c>
      <c r="C2" s="2">
        <v>1</v>
      </c>
      <c r="D2" s="2">
        <v>13.5</v>
      </c>
      <c r="E2" s="2">
        <v>0</v>
      </c>
      <c r="F2" s="2">
        <v>48</v>
      </c>
      <c r="G2" s="2">
        <v>1</v>
      </c>
      <c r="H2" s="2">
        <v>1</v>
      </c>
      <c r="I2" s="2">
        <v>1</v>
      </c>
      <c r="J2" s="2" t="s">
        <v>12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608A1-FBFE-45A4-A499-4015C1D010B6}">
  <dimension ref="A1:D1"/>
  <sheetViews>
    <sheetView workbookViewId="0">
      <selection activeCell="R18" sqref="R18"/>
    </sheetView>
  </sheetViews>
  <sheetFormatPr defaultRowHeight="14.25" x14ac:dyDescent="0.2"/>
  <cols>
    <col min="2" max="2" width="11.25" customWidth="1"/>
  </cols>
  <sheetData>
    <row r="1" spans="1:4" x14ac:dyDescent="0.2">
      <c r="A1" t="s">
        <v>19</v>
      </c>
      <c r="B1" t="s">
        <v>18</v>
      </c>
      <c r="C1" t="s">
        <v>20</v>
      </c>
      <c r="D1" t="s">
        <v>21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4F5CE-E61B-48C8-A153-EE4DC3929049}">
  <dimension ref="A1"/>
  <sheetViews>
    <sheetView topLeftCell="B1"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BA5FC-E68D-46C0-B305-755132DD04FD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21</vt:i4>
      </vt:variant>
    </vt:vector>
  </HeadingPairs>
  <TitlesOfParts>
    <vt:vector size="28" baseType="lpstr">
      <vt:lpstr>Input</vt:lpstr>
      <vt:lpstr>Simulink</vt:lpstr>
      <vt:lpstr>Parameter</vt:lpstr>
      <vt:lpstr>CodeGenerate</vt:lpstr>
      <vt:lpstr>标幺化</vt:lpstr>
      <vt:lpstr>定点化</vt:lpstr>
      <vt:lpstr>数据转化对照</vt:lpstr>
      <vt:lpstr>RadtoRPM</vt:lpstr>
      <vt:lpstr>RPMtoRad</vt:lpstr>
      <vt:lpstr>磁链观测器锁相环带宽</vt:lpstr>
      <vt:lpstr>电机定子D轴电感</vt:lpstr>
      <vt:lpstr>电机定子Q轴电感</vt:lpstr>
      <vt:lpstr>电机定子相电阻</vt:lpstr>
      <vt:lpstr>电机额定电压</vt:lpstr>
      <vt:lpstr>电机反电势系数</vt:lpstr>
      <vt:lpstr>电机转动惯量</vt:lpstr>
      <vt:lpstr>电机转子磁链</vt:lpstr>
      <vt:lpstr>电机转子极对数</vt:lpstr>
      <vt:lpstr>电流环带宽</vt:lpstr>
      <vt:lpstr>仿真基础步长</vt:lpstr>
      <vt:lpstr>高频任务步长</vt:lpstr>
      <vt:lpstr>滑膜观测器锁相环带宽</vt:lpstr>
      <vt:lpstr>龙贝格观测器锁相环带宽</vt:lpstr>
      <vt:lpstr>死区时间</vt:lpstr>
      <vt:lpstr>中频任务步长</vt:lpstr>
      <vt:lpstr>转速环Ki</vt:lpstr>
      <vt:lpstr>转速环Kp</vt:lpstr>
      <vt:lpstr>转速环带宽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YXuan</dc:creator>
  <cp:lastModifiedBy>晅 杨</cp:lastModifiedBy>
  <dcterms:created xsi:type="dcterms:W3CDTF">2015-06-05T18:19:34Z</dcterms:created>
  <dcterms:modified xsi:type="dcterms:W3CDTF">2026-05-14T14:27:17Z</dcterms:modified>
</cp:coreProperties>
</file>